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bnor\Documents\Full Body Flow Model Project\"/>
    </mc:Choice>
  </mc:AlternateContent>
  <xr:revisionPtr revIDLastSave="0" documentId="13_ncr:1_{E1402584-B309-403F-A077-11445800A2F3}" xr6:coauthVersionLast="47" xr6:coauthVersionMax="47" xr10:uidLastSave="{00000000-0000-0000-0000-000000000000}"/>
  <bookViews>
    <workbookView xWindow="-120" yWindow="-120" windowWidth="29040" windowHeight="15720" xr2:uid="{5B09B552-E1E7-4D5E-83AD-0BD0C565C1A0}"/>
  </bookViews>
  <sheets>
    <sheet name="Venous Data _ Sup" sheetId="2" r:id="rId1"/>
    <sheet name="Venous Data _ Inf" sheetId="4" r:id="rId2"/>
    <sheet name="Sheet2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D22" i="4"/>
  <c r="D2" i="4"/>
  <c r="C3" i="4"/>
  <c r="D3" i="4"/>
  <c r="D5" i="4"/>
  <c r="D7" i="4"/>
  <c r="D9" i="4"/>
  <c r="C3" i="2"/>
  <c r="C4" i="2"/>
  <c r="D3" i="2"/>
  <c r="D4" i="2"/>
  <c r="C11" i="2"/>
  <c r="C9" i="2"/>
  <c r="D12" i="2"/>
  <c r="D10" i="2"/>
  <c r="D13" i="2"/>
  <c r="D15" i="2"/>
  <c r="D2" i="2" l="1"/>
</calcChain>
</file>

<file path=xl/sharedStrings.xml><?xml version="1.0" encoding="utf-8"?>
<sst xmlns="http://schemas.openxmlformats.org/spreadsheetml/2006/main" count="69" uniqueCount="33">
  <si>
    <t>Name</t>
  </si>
  <si>
    <t>q ml/s</t>
  </si>
  <si>
    <t>ref</t>
  </si>
  <si>
    <t>Figure</t>
  </si>
  <si>
    <t>R Internal jugular vein IV (228)</t>
  </si>
  <si>
    <t>R Internal jugular vein IV (229)</t>
  </si>
  <si>
    <t>R Internal jugular vein II (224)</t>
  </si>
  <si>
    <t>L Internal jugular vein II (225)</t>
  </si>
  <si>
    <t>2014_Muller</t>
  </si>
  <si>
    <t>Sup Vena Cava III (84)</t>
  </si>
  <si>
    <t>Inf Vena Cava II (202)</t>
  </si>
  <si>
    <t>Inf Vena Cava IV I (200)</t>
  </si>
  <si>
    <t>Subclavian III (193)</t>
  </si>
  <si>
    <t>azygos vein II (244)</t>
  </si>
  <si>
    <t>2024_Liu</t>
  </si>
  <si>
    <t>Not PR</t>
  </si>
  <si>
    <t>Hepatic vein (64)</t>
  </si>
  <si>
    <t>Index</t>
  </si>
  <si>
    <t>Inflow</t>
  </si>
  <si>
    <t>Ref</t>
  </si>
  <si>
    <t>Sup-Flow (ml/s)</t>
  </si>
  <si>
    <t>Inf-Flow (ml/s)</t>
  </si>
  <si>
    <t>2008_Ooue</t>
  </si>
  <si>
    <t>2021_Takahashi</t>
  </si>
  <si>
    <t>2021_Takahashi, 2022_Foor</t>
  </si>
  <si>
    <t>2022_Foor</t>
  </si>
  <si>
    <t>2002_Ogawa</t>
  </si>
  <si>
    <t>2019_Husain-Syed</t>
  </si>
  <si>
    <t>2004_Barakat</t>
  </si>
  <si>
    <t>2024_Nie</t>
  </si>
  <si>
    <t xml:space="preserve">2024_Nie </t>
  </si>
  <si>
    <t>linear interp</t>
  </si>
  <si>
    <t xml:space="preserve">2014_Muller, 2024_Nie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</si>
</sst>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1</xdr:row>
      <xdr:rowOff>1</xdr:rowOff>
    </xdr:from>
    <xdr:to>
      <xdr:col>14</xdr:col>
      <xdr:colOff>561975</xdr:colOff>
      <xdr:row>24</xdr:row>
      <xdr:rowOff>24851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4A10D-F0D6-39FB-A605-176E4380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1" y="190501"/>
          <a:ext cx="6048374" cy="44063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6</xdr:col>
      <xdr:colOff>590550</xdr:colOff>
      <xdr:row>20</xdr:row>
      <xdr:rowOff>142875</xdr:rowOff>
    </xdr:from>
    <xdr:to>
      <xdr:col>7</xdr:col>
      <xdr:colOff>461963</xdr:colOff>
      <xdr:row>21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57EBBE0-61BA-4628-29AD-8C460650D135}"/>
            </a:ext>
          </a:extLst>
        </xdr:cNvPr>
        <xdr:cNvSpPr/>
      </xdr:nvSpPr>
      <xdr:spPr>
        <a:xfrm>
          <a:off x="5810250" y="3952875"/>
          <a:ext cx="481013" cy="219075"/>
        </a:xfrm>
        <a:prstGeom prst="rect">
          <a:avLst/>
        </a:prstGeom>
        <a:noFill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  <xdr:twoCellAnchor editAs="oneCell">
    <xdr:from>
      <xdr:col>15</xdr:col>
      <xdr:colOff>0</xdr:colOff>
      <xdr:row>2</xdr:row>
      <xdr:rowOff>0</xdr:rowOff>
    </xdr:from>
    <xdr:to>
      <xdr:col>19</xdr:col>
      <xdr:colOff>276604</xdr:colOff>
      <xdr:row>30</xdr:row>
      <xdr:rowOff>115060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D183F9-6B24-A584-EF13-8B4183BE4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6100" y="381000"/>
          <a:ext cx="2715004" cy="54490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328E-9C39-47E8-9767-EDCC58FB1C3F}">
  <dimension ref="A1:E20"/>
  <sheetViews>
    <sheetView tabSelected="1" workbookViewId="0">
      <selection activeCell="E30" sqref="E30"/>
    </sheetView>
  </sheetViews>
  <sheetFormatPr defaultRowHeight="15" x14ac:dyDescent="0.25"/>
  <cols>
    <col min="3" max="3" width="15.7109375" customWidth="1"/>
    <col min="4" max="4" width="13.140625" customWidth="1"/>
    <col min="5" max="5" width="26.5703125" customWidth="1"/>
  </cols>
  <sheetData>
    <row r="1" spans="1:5" x14ac:dyDescent="0.25">
      <c r="A1" t="s">
        <v>17</v>
      </c>
      <c r="B1" t="s">
        <v>18</v>
      </c>
      <c r="C1" t="s">
        <v>20</v>
      </c>
      <c r="D1" t="s">
        <v>21</v>
      </c>
      <c r="E1" t="s">
        <v>19</v>
      </c>
    </row>
    <row r="2" spans="1:5" x14ac:dyDescent="0.25">
      <c r="A2">
        <v>0</v>
      </c>
      <c r="C2">
        <v>28</v>
      </c>
      <c r="D2">
        <f>D3+D4</f>
        <v>25.5</v>
      </c>
      <c r="E2" t="s">
        <v>8</v>
      </c>
    </row>
    <row r="3" spans="1:5" x14ac:dyDescent="0.25">
      <c r="A3">
        <v>1</v>
      </c>
      <c r="B3">
        <v>0</v>
      </c>
      <c r="C3">
        <f>D3</f>
        <v>9</v>
      </c>
      <c r="D3">
        <f>C5+C6</f>
        <v>9</v>
      </c>
    </row>
    <row r="4" spans="1:5" x14ac:dyDescent="0.25">
      <c r="A4">
        <v>2</v>
      </c>
      <c r="B4">
        <v>0</v>
      </c>
      <c r="C4">
        <f>D4</f>
        <v>16.5</v>
      </c>
      <c r="D4">
        <f>C7+C8</f>
        <v>16.5</v>
      </c>
    </row>
    <row r="5" spans="1:5" x14ac:dyDescent="0.25">
      <c r="A5">
        <v>3</v>
      </c>
      <c r="B5">
        <v>1</v>
      </c>
      <c r="C5">
        <v>4.4000000000000004</v>
      </c>
      <c r="D5">
        <v>2.75</v>
      </c>
      <c r="E5" t="s">
        <v>8</v>
      </c>
    </row>
    <row r="6" spans="1:5" x14ac:dyDescent="0.25">
      <c r="A6">
        <v>4</v>
      </c>
      <c r="B6">
        <v>1</v>
      </c>
      <c r="C6">
        <v>4.5999999999999996</v>
      </c>
      <c r="D6">
        <v>4.5999999999999996</v>
      </c>
      <c r="E6" t="s">
        <v>8</v>
      </c>
    </row>
    <row r="7" spans="1:5" x14ac:dyDescent="0.25">
      <c r="A7">
        <v>5</v>
      </c>
      <c r="B7">
        <v>2</v>
      </c>
      <c r="C7">
        <v>4.5999999999999996</v>
      </c>
      <c r="D7">
        <v>4.5999999999999996</v>
      </c>
      <c r="E7" t="s">
        <v>8</v>
      </c>
    </row>
    <row r="8" spans="1:5" x14ac:dyDescent="0.25">
      <c r="A8">
        <v>6</v>
      </c>
      <c r="B8">
        <v>2</v>
      </c>
      <c r="C8">
        <v>11.9</v>
      </c>
      <c r="D8">
        <v>7.85</v>
      </c>
      <c r="E8" t="s">
        <v>8</v>
      </c>
    </row>
    <row r="9" spans="1:5" x14ac:dyDescent="0.25">
      <c r="A9">
        <v>7</v>
      </c>
      <c r="B9">
        <v>4</v>
      </c>
      <c r="C9">
        <f>D6-C10</f>
        <v>2.8499999999999996</v>
      </c>
      <c r="D9">
        <v>2.11</v>
      </c>
    </row>
    <row r="10" spans="1:5" x14ac:dyDescent="0.25">
      <c r="A10">
        <v>8</v>
      </c>
      <c r="B10">
        <v>4</v>
      </c>
      <c r="C10">
        <v>1.75</v>
      </c>
      <c r="D10">
        <f>C14</f>
        <v>0.43</v>
      </c>
      <c r="E10" t="s">
        <v>25</v>
      </c>
    </row>
    <row r="11" spans="1:5" x14ac:dyDescent="0.25">
      <c r="A11">
        <v>9</v>
      </c>
      <c r="B11">
        <v>5</v>
      </c>
      <c r="C11">
        <f>D7-C12</f>
        <v>2.8499999999999996</v>
      </c>
      <c r="D11">
        <v>2.31</v>
      </c>
    </row>
    <row r="12" spans="1:5" x14ac:dyDescent="0.25">
      <c r="A12">
        <v>10</v>
      </c>
      <c r="B12">
        <v>5</v>
      </c>
      <c r="C12">
        <v>1.75</v>
      </c>
      <c r="D12">
        <f>C16</f>
        <v>0.43</v>
      </c>
      <c r="E12" t="s">
        <v>25</v>
      </c>
    </row>
    <row r="13" spans="1:5" x14ac:dyDescent="0.25">
      <c r="A13">
        <v>11</v>
      </c>
      <c r="B13">
        <v>7</v>
      </c>
      <c r="C13">
        <v>2.11</v>
      </c>
      <c r="D13">
        <f>C17+C18</f>
        <v>1.29</v>
      </c>
      <c r="E13" t="s">
        <v>22</v>
      </c>
    </row>
    <row r="14" spans="1:5" x14ac:dyDescent="0.25">
      <c r="A14">
        <v>12</v>
      </c>
      <c r="B14">
        <v>8</v>
      </c>
      <c r="C14">
        <v>0.43</v>
      </c>
      <c r="D14">
        <v>0.32</v>
      </c>
      <c r="E14" t="s">
        <v>24</v>
      </c>
    </row>
    <row r="15" spans="1:5" x14ac:dyDescent="0.25">
      <c r="A15">
        <v>13</v>
      </c>
      <c r="B15">
        <v>9</v>
      </c>
      <c r="C15">
        <v>2.31</v>
      </c>
      <c r="D15">
        <f>C19+C20</f>
        <v>1.29</v>
      </c>
      <c r="E15" t="s">
        <v>22</v>
      </c>
    </row>
    <row r="16" spans="1:5" x14ac:dyDescent="0.25">
      <c r="A16">
        <v>14</v>
      </c>
      <c r="B16">
        <v>10</v>
      </c>
      <c r="C16">
        <v>0.43</v>
      </c>
      <c r="D16">
        <v>0.32</v>
      </c>
      <c r="E16" t="s">
        <v>24</v>
      </c>
    </row>
    <row r="17" spans="1:5" x14ac:dyDescent="0.25">
      <c r="A17">
        <v>15</v>
      </c>
      <c r="B17">
        <v>11</v>
      </c>
      <c r="C17">
        <v>0.6</v>
      </c>
      <c r="D17">
        <v>0.28000000000000003</v>
      </c>
      <c r="E17" t="s">
        <v>23</v>
      </c>
    </row>
    <row r="18" spans="1:5" x14ac:dyDescent="0.25">
      <c r="A18">
        <v>16</v>
      </c>
      <c r="B18">
        <v>11</v>
      </c>
      <c r="C18">
        <v>0.69</v>
      </c>
      <c r="D18">
        <v>0.32</v>
      </c>
      <c r="E18" t="s">
        <v>22</v>
      </c>
    </row>
    <row r="19" spans="1:5" x14ac:dyDescent="0.25">
      <c r="A19">
        <v>17</v>
      </c>
      <c r="B19">
        <v>13</v>
      </c>
      <c r="C19">
        <v>0.6</v>
      </c>
      <c r="D19">
        <v>0.28000000000000003</v>
      </c>
      <c r="E19" t="s">
        <v>23</v>
      </c>
    </row>
    <row r="20" spans="1:5" x14ac:dyDescent="0.25">
      <c r="A20">
        <v>18</v>
      </c>
      <c r="B20">
        <v>13</v>
      </c>
      <c r="C20">
        <v>0.69</v>
      </c>
      <c r="D20">
        <v>0.32</v>
      </c>
      <c r="E2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D4AB-CEAB-460E-B24A-3C1986272137}">
  <dimension ref="A1:G27"/>
  <sheetViews>
    <sheetView workbookViewId="0">
      <selection activeCell="D2" sqref="D2:D28"/>
    </sheetView>
  </sheetViews>
  <sheetFormatPr defaultRowHeight="15" x14ac:dyDescent="0.25"/>
  <cols>
    <col min="3" max="3" width="15.7109375" customWidth="1"/>
    <col min="4" max="4" width="13.140625" customWidth="1"/>
    <col min="5" max="5" width="26.5703125" customWidth="1"/>
  </cols>
  <sheetData>
    <row r="1" spans="1:7" x14ac:dyDescent="0.25">
      <c r="A1" t="s">
        <v>17</v>
      </c>
      <c r="B1" t="s">
        <v>18</v>
      </c>
      <c r="C1" t="s">
        <v>20</v>
      </c>
      <c r="D1" t="s">
        <v>21</v>
      </c>
      <c r="E1" t="s">
        <v>19</v>
      </c>
    </row>
    <row r="2" spans="1:7" x14ac:dyDescent="0.25">
      <c r="A2">
        <v>0</v>
      </c>
      <c r="C2">
        <v>49</v>
      </c>
      <c r="D2">
        <f>C3+C4</f>
        <v>45.300000000000004</v>
      </c>
    </row>
    <row r="3" spans="1:7" x14ac:dyDescent="0.25">
      <c r="A3">
        <v>1</v>
      </c>
      <c r="B3">
        <v>0</v>
      </c>
      <c r="C3">
        <f>D3</f>
        <v>41.2</v>
      </c>
      <c r="D3">
        <f>C5+C6</f>
        <v>41.2</v>
      </c>
    </row>
    <row r="4" spans="1:7" x14ac:dyDescent="0.25">
      <c r="A4">
        <v>2</v>
      </c>
      <c r="B4">
        <v>0</v>
      </c>
      <c r="C4">
        <v>4.0999999999999996</v>
      </c>
      <c r="D4">
        <v>4.0999999999999996</v>
      </c>
      <c r="E4" t="s">
        <v>28</v>
      </c>
    </row>
    <row r="5" spans="1:7" x14ac:dyDescent="0.25">
      <c r="A5">
        <v>3</v>
      </c>
      <c r="B5">
        <v>1</v>
      </c>
      <c r="C5">
        <v>37.1</v>
      </c>
      <c r="D5">
        <f>C7+C8</f>
        <v>37.1</v>
      </c>
    </row>
    <row r="6" spans="1:7" x14ac:dyDescent="0.25">
      <c r="A6">
        <v>4</v>
      </c>
      <c r="B6">
        <v>1</v>
      </c>
      <c r="C6">
        <v>4.0999999999999996</v>
      </c>
      <c r="D6">
        <v>4.0999999999999996</v>
      </c>
      <c r="E6" t="s">
        <v>28</v>
      </c>
    </row>
    <row r="7" spans="1:7" x14ac:dyDescent="0.25">
      <c r="A7">
        <v>5</v>
      </c>
      <c r="B7">
        <v>3</v>
      </c>
      <c r="C7">
        <v>33</v>
      </c>
      <c r="D7">
        <f>C8+C9</f>
        <v>27.200000000000003</v>
      </c>
      <c r="E7" t="s">
        <v>8</v>
      </c>
    </row>
    <row r="8" spans="1:7" x14ac:dyDescent="0.25">
      <c r="A8">
        <v>6</v>
      </c>
      <c r="B8">
        <v>3</v>
      </c>
      <c r="C8">
        <v>4.0999999999999996</v>
      </c>
      <c r="D8">
        <v>4.0999999999999996</v>
      </c>
      <c r="E8" t="s">
        <v>28</v>
      </c>
    </row>
    <row r="9" spans="1:7" x14ac:dyDescent="0.25">
      <c r="A9">
        <v>7</v>
      </c>
      <c r="B9">
        <v>5</v>
      </c>
      <c r="C9">
        <v>23.1</v>
      </c>
      <c r="D9">
        <f>C11+C10</f>
        <v>23.1</v>
      </c>
    </row>
    <row r="10" spans="1:7" x14ac:dyDescent="0.25">
      <c r="A10">
        <v>8</v>
      </c>
      <c r="B10">
        <v>5</v>
      </c>
      <c r="C10">
        <v>1.1000000000000001</v>
      </c>
      <c r="D10">
        <v>1.1000000000000001</v>
      </c>
      <c r="E10" t="s">
        <v>27</v>
      </c>
    </row>
    <row r="11" spans="1:7" x14ac:dyDescent="0.25">
      <c r="A11">
        <v>9</v>
      </c>
      <c r="B11">
        <v>7</v>
      </c>
      <c r="C11">
        <v>22</v>
      </c>
      <c r="D11">
        <v>14.53</v>
      </c>
      <c r="E11" t="s">
        <v>32</v>
      </c>
    </row>
    <row r="12" spans="1:7" x14ac:dyDescent="0.25">
      <c r="A12">
        <v>10</v>
      </c>
      <c r="B12">
        <v>7</v>
      </c>
      <c r="C12">
        <v>1.04</v>
      </c>
      <c r="D12">
        <v>1.04</v>
      </c>
      <c r="E12" t="s">
        <v>27</v>
      </c>
    </row>
    <row r="13" spans="1:7" x14ac:dyDescent="0.25">
      <c r="A13">
        <v>11</v>
      </c>
      <c r="B13">
        <v>9</v>
      </c>
      <c r="C13">
        <v>7.2649999999999997</v>
      </c>
      <c r="D13" s="1">
        <v>6.82</v>
      </c>
      <c r="E13" t="s">
        <v>30</v>
      </c>
    </row>
    <row r="14" spans="1:7" x14ac:dyDescent="0.25">
      <c r="A14">
        <v>12</v>
      </c>
      <c r="B14">
        <v>9</v>
      </c>
      <c r="C14">
        <v>7.2649999999999997</v>
      </c>
      <c r="D14">
        <v>6.7</v>
      </c>
      <c r="E14" t="s">
        <v>30</v>
      </c>
      <c r="G14" s="1" t="s">
        <v>31</v>
      </c>
    </row>
    <row r="15" spans="1:7" x14ac:dyDescent="0.25">
      <c r="A15">
        <v>13</v>
      </c>
      <c r="B15">
        <v>11</v>
      </c>
      <c r="C15" s="1">
        <v>6.82</v>
      </c>
      <c r="D15">
        <v>6.7</v>
      </c>
      <c r="E15" t="s">
        <v>30</v>
      </c>
    </row>
    <row r="16" spans="1:7" x14ac:dyDescent="0.25">
      <c r="A16">
        <v>14</v>
      </c>
      <c r="B16">
        <v>12</v>
      </c>
      <c r="C16">
        <v>1.62</v>
      </c>
      <c r="D16">
        <v>1</v>
      </c>
    </row>
    <row r="17" spans="1:5" x14ac:dyDescent="0.25">
      <c r="A17">
        <v>15</v>
      </c>
      <c r="B17">
        <v>12</v>
      </c>
      <c r="C17">
        <v>5.08</v>
      </c>
      <c r="D17">
        <v>5</v>
      </c>
      <c r="E17" t="s">
        <v>29</v>
      </c>
    </row>
    <row r="18" spans="1:5" x14ac:dyDescent="0.25">
      <c r="A18">
        <v>16</v>
      </c>
      <c r="B18">
        <v>13</v>
      </c>
      <c r="C18">
        <v>5.08</v>
      </c>
      <c r="D18">
        <v>5</v>
      </c>
      <c r="E18" t="s">
        <v>29</v>
      </c>
    </row>
    <row r="19" spans="1:5" x14ac:dyDescent="0.25">
      <c r="A19">
        <v>17</v>
      </c>
      <c r="B19">
        <v>13</v>
      </c>
      <c r="C19">
        <v>1.62</v>
      </c>
      <c r="D19">
        <v>1</v>
      </c>
    </row>
    <row r="20" spans="1:5" x14ac:dyDescent="0.25">
      <c r="A20">
        <v>18</v>
      </c>
      <c r="B20">
        <v>15</v>
      </c>
      <c r="C20">
        <v>3.6</v>
      </c>
      <c r="D20">
        <f>C24+C25</f>
        <v>3.1300000000000003</v>
      </c>
    </row>
    <row r="21" spans="1:5" x14ac:dyDescent="0.25">
      <c r="A21">
        <v>19</v>
      </c>
      <c r="B21">
        <v>15</v>
      </c>
      <c r="C21">
        <v>1.4</v>
      </c>
      <c r="D21">
        <v>1</v>
      </c>
      <c r="E21" t="s">
        <v>26</v>
      </c>
    </row>
    <row r="22" spans="1:5" x14ac:dyDescent="0.25">
      <c r="A22">
        <v>20</v>
      </c>
      <c r="B22">
        <v>16</v>
      </c>
      <c r="C22">
        <v>3.6</v>
      </c>
      <c r="D22">
        <f>C26+C27</f>
        <v>3.1300000000000003</v>
      </c>
    </row>
    <row r="23" spans="1:5" x14ac:dyDescent="0.25">
      <c r="A23">
        <v>21</v>
      </c>
      <c r="B23">
        <v>16</v>
      </c>
      <c r="C23">
        <v>1.4</v>
      </c>
      <c r="D23">
        <v>1</v>
      </c>
      <c r="E23" t="s">
        <v>26</v>
      </c>
    </row>
    <row r="24" spans="1:5" x14ac:dyDescent="0.25">
      <c r="A24">
        <v>22</v>
      </c>
      <c r="B24">
        <v>18</v>
      </c>
      <c r="C24">
        <v>2.4500000000000002</v>
      </c>
      <c r="D24">
        <v>1</v>
      </c>
      <c r="E24" t="s">
        <v>26</v>
      </c>
    </row>
    <row r="25" spans="1:5" x14ac:dyDescent="0.25">
      <c r="A25">
        <v>23</v>
      </c>
      <c r="B25">
        <v>18</v>
      </c>
      <c r="C25">
        <v>0.68</v>
      </c>
      <c r="D25">
        <v>0.6</v>
      </c>
      <c r="E25" t="s">
        <v>26</v>
      </c>
    </row>
    <row r="26" spans="1:5" x14ac:dyDescent="0.25">
      <c r="A26">
        <v>24</v>
      </c>
      <c r="B26">
        <v>20</v>
      </c>
      <c r="C26">
        <v>2.4500000000000002</v>
      </c>
      <c r="D26">
        <v>1</v>
      </c>
      <c r="E26" t="s">
        <v>26</v>
      </c>
    </row>
    <row r="27" spans="1:5" x14ac:dyDescent="0.25">
      <c r="A27">
        <v>25</v>
      </c>
      <c r="B27">
        <v>20</v>
      </c>
      <c r="C27">
        <v>0.68</v>
      </c>
      <c r="D27">
        <v>0.6</v>
      </c>
      <c r="E2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AA27-B61C-4DD5-AD5C-FF5A56F8C1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0BD93-4EA0-4FE3-932E-BDC36775F378}">
  <dimension ref="A1:F12"/>
  <sheetViews>
    <sheetView zoomScaleNormal="100" workbookViewId="0">
      <selection activeCell="D30" sqref="D30"/>
    </sheetView>
  </sheetViews>
  <sheetFormatPr defaultRowHeight="15" x14ac:dyDescent="0.25"/>
  <cols>
    <col min="1" max="1" width="32.5703125" customWidth="1"/>
  </cols>
  <sheetData>
    <row r="1" spans="1:6" x14ac:dyDescent="0.25">
      <c r="A1" t="s">
        <v>0</v>
      </c>
      <c r="B1" t="s">
        <v>1</v>
      </c>
      <c r="C1" t="s">
        <v>2</v>
      </c>
      <c r="F1" t="s">
        <v>3</v>
      </c>
    </row>
    <row r="2" spans="1:6" x14ac:dyDescent="0.25">
      <c r="A2" t="s">
        <v>4</v>
      </c>
      <c r="B2">
        <v>2.75</v>
      </c>
      <c r="C2" t="s">
        <v>8</v>
      </c>
    </row>
    <row r="3" spans="1:6" x14ac:dyDescent="0.25">
      <c r="A3" t="s">
        <v>5</v>
      </c>
      <c r="B3">
        <v>7.85</v>
      </c>
      <c r="C3" t="s">
        <v>8</v>
      </c>
    </row>
    <row r="4" spans="1:6" x14ac:dyDescent="0.25">
      <c r="A4" t="s">
        <v>6</v>
      </c>
      <c r="B4">
        <v>4.4000000000000004</v>
      </c>
      <c r="C4" t="s">
        <v>8</v>
      </c>
    </row>
    <row r="5" spans="1:6" x14ac:dyDescent="0.25">
      <c r="A5" t="s">
        <v>7</v>
      </c>
      <c r="B5">
        <v>11.9</v>
      </c>
      <c r="C5" t="s">
        <v>8</v>
      </c>
    </row>
    <row r="6" spans="1:6" x14ac:dyDescent="0.25">
      <c r="A6" t="s">
        <v>9</v>
      </c>
      <c r="B6">
        <v>29</v>
      </c>
      <c r="C6" t="s">
        <v>8</v>
      </c>
    </row>
    <row r="7" spans="1:6" x14ac:dyDescent="0.25">
      <c r="A7" t="s">
        <v>10</v>
      </c>
      <c r="B7">
        <v>17</v>
      </c>
      <c r="C7" t="s">
        <v>8</v>
      </c>
    </row>
    <row r="8" spans="1:6" x14ac:dyDescent="0.25">
      <c r="A8" t="s">
        <v>11</v>
      </c>
      <c r="B8">
        <v>33</v>
      </c>
      <c r="C8" t="s">
        <v>8</v>
      </c>
    </row>
    <row r="9" spans="1:6" x14ac:dyDescent="0.25">
      <c r="A9" t="s">
        <v>13</v>
      </c>
      <c r="B9">
        <v>7</v>
      </c>
      <c r="C9" t="s">
        <v>8</v>
      </c>
    </row>
    <row r="10" spans="1:6" x14ac:dyDescent="0.25">
      <c r="A10" t="s">
        <v>12</v>
      </c>
      <c r="B10">
        <v>3.6</v>
      </c>
      <c r="C10" t="s">
        <v>8</v>
      </c>
    </row>
    <row r="12" spans="1:6" x14ac:dyDescent="0.25">
      <c r="A12" t="s">
        <v>16</v>
      </c>
      <c r="B12">
        <v>4.0999999999999996</v>
      </c>
      <c r="C12" t="s">
        <v>14</v>
      </c>
      <c r="D12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Venous Data _ Sup</vt:lpstr>
      <vt:lpstr>Venous Data _ Inf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cbn@student.ubc.ca</dc:creator>
  <cp:lastModifiedBy>cbn@student.ubc.ca</cp:lastModifiedBy>
  <dcterms:created xsi:type="dcterms:W3CDTF">2024-10-22T18:38:11Z</dcterms:created>
  <dcterms:modified xsi:type="dcterms:W3CDTF">2025-01-07T00:36:59Z</dcterms:modified>
</cp:coreProperties>
</file>