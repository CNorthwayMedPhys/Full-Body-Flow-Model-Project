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PHSAhome2.phsabc.ehcnet.ca\Cassidy.Northway\Remote Git\"/>
    </mc:Choice>
  </mc:AlternateContent>
  <xr:revisionPtr revIDLastSave="0" documentId="13_ncr:1_{462707E7-898E-4A10-96E9-05656F059BA2}" xr6:coauthVersionLast="47" xr6:coauthVersionMax="47" xr10:uidLastSave="{00000000-0000-0000-0000-000000000000}"/>
  <bookViews>
    <workbookView xWindow="28680" yWindow="-4770" windowWidth="18240" windowHeight="28320" xr2:uid="{09F9910B-DC95-4A40-9207-E388BF1B80D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F13" i="1" l="1"/>
  <c r="F5" i="1"/>
  <c r="F6" i="1"/>
  <c r="F7" i="1"/>
  <c r="F8" i="1"/>
  <c r="F9" i="1"/>
  <c r="F10" i="1"/>
  <c r="F11" i="1"/>
  <c r="F12" i="1"/>
  <c r="F14" i="1"/>
  <c r="F4" i="1"/>
  <c r="F3" i="1"/>
  <c r="F2" i="1"/>
  <c r="E2" i="1"/>
  <c r="E3" i="1"/>
  <c r="E4" i="1"/>
  <c r="E5" i="1"/>
  <c r="E6" i="1"/>
  <c r="E7" i="1"/>
  <c r="E8" i="1"/>
  <c r="E9" i="1"/>
  <c r="E10" i="1"/>
  <c r="E11" i="1"/>
  <c r="E12" i="1"/>
  <c r="E13" i="1"/>
  <c r="E14" i="1"/>
</calcChain>
</file>

<file path=xl/sharedStrings.xml><?xml version="1.0" encoding="utf-8"?>
<sst xmlns="http://schemas.openxmlformats.org/spreadsheetml/2006/main" count="18" uniqueCount="18">
  <si>
    <t> Stomach</t>
  </si>
  <si>
    <t> S. Intestine</t>
  </si>
  <si>
    <t> L. Intestine</t>
  </si>
  <si>
    <t> Heart</t>
  </si>
  <si>
    <t>Kidneys</t>
  </si>
  <si>
    <t> Liver</t>
  </si>
  <si>
    <t>Pulmonary</t>
  </si>
  <si>
    <t> Pancreas</t>
  </si>
  <si>
    <t> Spleen</t>
  </si>
  <si>
    <t> Aorta and L. Arteries</t>
  </si>
  <si>
    <t> L. Veins</t>
  </si>
  <si>
    <t> Distributed Tissues</t>
  </si>
  <si>
    <t>Organs</t>
  </si>
  <si>
    <t>Tuning Results</t>
  </si>
  <si>
    <t>Brain</t>
  </si>
  <si>
    <t>Modified Reference Man Values</t>
  </si>
  <si>
    <t>range of MRMV</t>
  </si>
  <si>
    <t>Tuning 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</si>
</sst>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2"/>
      <color rgb="FF000000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16688707440078E-2"/>
          <c:y val="3.1040567822418621E-2"/>
          <c:w val="0.88467555577124513"/>
          <c:h val="0.790912779337336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Tuning Results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Sheet1!$A$2:$A$14</c:f>
              <c:strCache>
                <c:ptCount val="13"/>
                <c:pt idx="0">
                  <c:v>Brain</c:v>
                </c:pt>
                <c:pt idx="1">
                  <c:v> Stomach</c:v>
                </c:pt>
                <c:pt idx="2">
                  <c:v> S. Intestine</c:v>
                </c:pt>
                <c:pt idx="3">
                  <c:v> L. Intestine</c:v>
                </c:pt>
                <c:pt idx="4">
                  <c:v> Heart</c:v>
                </c:pt>
                <c:pt idx="5">
                  <c:v>Kidneys</c:v>
                </c:pt>
                <c:pt idx="6">
                  <c:v> Liver</c:v>
                </c:pt>
                <c:pt idx="7">
                  <c:v>Pulmonary</c:v>
                </c:pt>
                <c:pt idx="8">
                  <c:v> Pancreas</c:v>
                </c:pt>
                <c:pt idx="9">
                  <c:v> Spleen</c:v>
                </c:pt>
                <c:pt idx="10">
                  <c:v> Aorta and L. Arteries</c:v>
                </c:pt>
                <c:pt idx="11">
                  <c:v> L. Veins</c:v>
                </c:pt>
                <c:pt idx="12">
                  <c:v> Distributed Tissues</c:v>
                </c:pt>
              </c:strCache>
            </c:strRef>
          </c:cat>
          <c:val>
            <c:numRef>
              <c:f>Sheet1!$B$2:$B$14</c:f>
              <c:numCache>
                <c:formatCode>General</c:formatCode>
                <c:ptCount val="13"/>
                <c:pt idx="0">
                  <c:v>0.86</c:v>
                </c:pt>
                <c:pt idx="1">
                  <c:v>2.56</c:v>
                </c:pt>
                <c:pt idx="2">
                  <c:v>3.52</c:v>
                </c:pt>
                <c:pt idx="3">
                  <c:v>2.04</c:v>
                </c:pt>
                <c:pt idx="4">
                  <c:v>10.09</c:v>
                </c:pt>
                <c:pt idx="5">
                  <c:v>2.08</c:v>
                </c:pt>
                <c:pt idx="6">
                  <c:v>11.79</c:v>
                </c:pt>
                <c:pt idx="7">
                  <c:v>9.4499999999999993</c:v>
                </c:pt>
                <c:pt idx="8">
                  <c:v>0.78</c:v>
                </c:pt>
                <c:pt idx="9">
                  <c:v>1.85</c:v>
                </c:pt>
                <c:pt idx="10">
                  <c:v>9.4</c:v>
                </c:pt>
                <c:pt idx="11">
                  <c:v>8.98</c:v>
                </c:pt>
                <c:pt idx="12">
                  <c:v>36.58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7-4FC6-9D37-DBB7F107810A}"/>
            </c:ext>
          </c:extLst>
        </c:ser>
        <c:ser>
          <c:idx val="1"/>
          <c:order val="1"/>
          <c:tx>
            <c:strRef>
              <c:f>Sheet1!$D$1</c:f>
              <c:strCache>
                <c:ptCount val="1"/>
                <c:pt idx="0">
                  <c:v>Modified Reference Man Values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Sheet1!$F$2:$F$14</c:f>
                <c:numCache>
                  <c:formatCode>General</c:formatCode>
                  <c:ptCount val="13"/>
                  <c:pt idx="0">
                    <c:v>0.15999999999999992</c:v>
                  </c:pt>
                  <c:pt idx="1">
                    <c:v>0.27</c:v>
                  </c:pt>
                  <c:pt idx="2">
                    <c:v>0.4700000000000002</c:v>
                  </c:pt>
                  <c:pt idx="3">
                    <c:v>0.22999999999999998</c:v>
                  </c:pt>
                  <c:pt idx="4">
                    <c:v>4.1999999999999993</c:v>
                  </c:pt>
                  <c:pt idx="5">
                    <c:v>0.83000000000000007</c:v>
                  </c:pt>
                  <c:pt idx="6">
                    <c:v>1.6600000000000001</c:v>
                  </c:pt>
                  <c:pt idx="7">
                    <c:v>2.1500000000000004</c:v>
                  </c:pt>
                  <c:pt idx="8">
                    <c:v>7.999999999999996E-2</c:v>
                  </c:pt>
                  <c:pt idx="9">
                    <c:v>0.44999999999999996</c:v>
                  </c:pt>
                  <c:pt idx="10">
                    <c:v>2.8</c:v>
                  </c:pt>
                  <c:pt idx="11">
                    <c:v>6.3900000000000006</c:v>
                  </c:pt>
                  <c:pt idx="12">
                    <c:v>10.909999999999997</c:v>
                  </c:pt>
                </c:numCache>
              </c:numRef>
            </c:plus>
            <c:minus>
              <c:numRef>
                <c:f>Sheet1!$E$2:$E$14</c:f>
                <c:numCache>
                  <c:formatCode>General</c:formatCode>
                  <c:ptCount val="13"/>
                  <c:pt idx="0">
                    <c:v>0.43999999999999995</c:v>
                  </c:pt>
                  <c:pt idx="1">
                    <c:v>0.83000000000000007</c:v>
                  </c:pt>
                  <c:pt idx="2">
                    <c:v>3.0300000000000002</c:v>
                  </c:pt>
                  <c:pt idx="3">
                    <c:v>1.77</c:v>
                  </c:pt>
                  <c:pt idx="4">
                    <c:v>2.8000000000000007</c:v>
                  </c:pt>
                  <c:pt idx="5">
                    <c:v>0.7699999999999998</c:v>
                  </c:pt>
                  <c:pt idx="6">
                    <c:v>6.34</c:v>
                  </c:pt>
                  <c:pt idx="7">
                    <c:v>2.8499999999999996</c:v>
                  </c:pt>
                  <c:pt idx="8">
                    <c:v>0.52</c:v>
                  </c:pt>
                  <c:pt idx="9">
                    <c:v>0.25</c:v>
                  </c:pt>
                  <c:pt idx="10">
                    <c:v>3.2</c:v>
                  </c:pt>
                  <c:pt idx="11">
                    <c:v>7.6099999999999994</c:v>
                  </c:pt>
                  <c:pt idx="12">
                    <c:v>15.090000000000003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Sheet1!$A$2:$A$14</c:f>
              <c:strCache>
                <c:ptCount val="13"/>
                <c:pt idx="0">
                  <c:v>Brain</c:v>
                </c:pt>
                <c:pt idx="1">
                  <c:v> Stomach</c:v>
                </c:pt>
                <c:pt idx="2">
                  <c:v> S. Intestine</c:v>
                </c:pt>
                <c:pt idx="3">
                  <c:v> L. Intestine</c:v>
                </c:pt>
                <c:pt idx="4">
                  <c:v> Heart</c:v>
                </c:pt>
                <c:pt idx="5">
                  <c:v>Kidneys</c:v>
                </c:pt>
                <c:pt idx="6">
                  <c:v> Liver</c:v>
                </c:pt>
                <c:pt idx="7">
                  <c:v>Pulmonary</c:v>
                </c:pt>
                <c:pt idx="8">
                  <c:v> Pancreas</c:v>
                </c:pt>
                <c:pt idx="9">
                  <c:v> Spleen</c:v>
                </c:pt>
                <c:pt idx="10">
                  <c:v> Aorta and L. Arteries</c:v>
                </c:pt>
                <c:pt idx="11">
                  <c:v> L. Veins</c:v>
                </c:pt>
                <c:pt idx="12">
                  <c:v> Distributed Tissues</c:v>
                </c:pt>
              </c:strCache>
            </c:strRef>
          </c:cat>
          <c:val>
            <c:numRef>
              <c:f>Sheet1!$D$2:$D$14</c:f>
              <c:numCache>
                <c:formatCode>General</c:formatCode>
                <c:ptCount val="13"/>
                <c:pt idx="0">
                  <c:v>1.24</c:v>
                </c:pt>
                <c:pt idx="1">
                  <c:v>1.03</c:v>
                </c:pt>
                <c:pt idx="2">
                  <c:v>3.93</c:v>
                </c:pt>
                <c:pt idx="3">
                  <c:v>2.27</c:v>
                </c:pt>
                <c:pt idx="4">
                  <c:v>9.3000000000000007</c:v>
                </c:pt>
                <c:pt idx="5">
                  <c:v>2.0699999999999998</c:v>
                </c:pt>
                <c:pt idx="6">
                  <c:v>10.34</c:v>
                </c:pt>
                <c:pt idx="7">
                  <c:v>10.85</c:v>
                </c:pt>
                <c:pt idx="8">
                  <c:v>0.62</c:v>
                </c:pt>
                <c:pt idx="9">
                  <c:v>1.45</c:v>
                </c:pt>
                <c:pt idx="10">
                  <c:v>6.2</c:v>
                </c:pt>
                <c:pt idx="11">
                  <c:v>18.61</c:v>
                </c:pt>
                <c:pt idx="12">
                  <c:v>32.090000000000003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C7-4FC6-9D37-DBB7F10781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85952639"/>
        <c:axId val="1885963199"/>
      </c:barChart>
      <c:catAx>
        <c:axId val="1885952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963199"/>
        <c:crosses val="autoZero"/>
        <c:auto val="1"/>
        <c:lblAlgn val="ctr"/>
        <c:lblOffset val="100"/>
        <c:noMultiLvlLbl val="0"/>
      </c:catAx>
      <c:valAx>
        <c:axId val="1885963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BV Distribution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952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638174</xdr:colOff>
      <xdr:row>16</xdr:row>
      <xdr:rowOff>180975</xdr:rowOff>
    </xdr:from>
    <xdr:to>
      <xdr:col>4</xdr:col>
      <xdr:colOff>819149</xdr:colOff>
      <xdr:row>40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811886-F8AC-B233-317A-8D9BA073F5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89AF-11C6-4973-98C8-CD4239AA27BC}">
  <dimension ref="A1:F15"/>
  <sheetViews>
    <sheetView tabSelected="1" topLeftCell="A11" workbookViewId="0">
      <selection activeCell="L15" sqref="L15"/>
    </sheetView>
  </sheetViews>
  <sheetFormatPr defaultRowHeight="15" x14ac:dyDescent="0.25"/>
  <cols>
    <col min="2" max="2" width="15" customWidth="1"/>
    <col min="3" max="3" width="29.5703125" customWidth="1"/>
    <col min="4" max="4" width="45.42578125" customWidth="1"/>
    <col min="5" max="5" width="19.7109375" customWidth="1"/>
  </cols>
  <sheetData>
    <row r="1" spans="1:6" x14ac:dyDescent="0.25">
      <c r="A1" t="s">
        <v>12</v>
      </c>
      <c r="B1" t="s">
        <v>13</v>
      </c>
      <c r="C1" t="s">
        <v>17</v>
      </c>
      <c r="D1" t="s">
        <v>15</v>
      </c>
      <c r="E1" t="s">
        <v>16</v>
      </c>
    </row>
    <row r="2" spans="1:6" ht="15.75" x14ac:dyDescent="0.25">
      <c r="A2" s="1" t="s">
        <v>14</v>
      </c>
      <c r="B2">
        <v>0.86</v>
      </c>
      <c r="C2">
        <v>0.28999999999999998</v>
      </c>
      <c r="D2">
        <v>1.24</v>
      </c>
      <c r="E2">
        <f>$D$2-0.8</f>
        <v>0.43999999999999995</v>
      </c>
      <c r="F2">
        <f>ABS(D2-1.4)</f>
        <v>0.15999999999999992</v>
      </c>
    </row>
    <row r="3" spans="1:6" ht="31.5" x14ac:dyDescent="0.25">
      <c r="A3" s="1" t="s">
        <v>0</v>
      </c>
      <c r="B3">
        <v>2.56</v>
      </c>
      <c r="C3">
        <v>0.55000000000000004</v>
      </c>
      <c r="D3">
        <v>1.03</v>
      </c>
      <c r="E3">
        <f>D3-0.2</f>
        <v>0.83000000000000007</v>
      </c>
      <c r="F3">
        <f>ABS(D3-1.3)</f>
        <v>0.27</v>
      </c>
    </row>
    <row r="4" spans="1:6" ht="47.25" x14ac:dyDescent="0.25">
      <c r="A4" s="1" t="s">
        <v>1</v>
      </c>
      <c r="B4">
        <v>3.52</v>
      </c>
      <c r="C4">
        <v>0.99</v>
      </c>
      <c r="D4">
        <v>3.93</v>
      </c>
      <c r="E4">
        <f>D4-0.9</f>
        <v>3.0300000000000002</v>
      </c>
      <c r="F4">
        <f>4.4-D4</f>
        <v>0.4700000000000002</v>
      </c>
    </row>
    <row r="5" spans="1:6" ht="47.25" x14ac:dyDescent="0.25">
      <c r="A5" s="1" t="s">
        <v>2</v>
      </c>
      <c r="B5">
        <v>2.04</v>
      </c>
      <c r="C5">
        <v>0.41</v>
      </c>
      <c r="D5">
        <v>2.27</v>
      </c>
      <c r="E5">
        <f>D5-0.5</f>
        <v>1.77</v>
      </c>
      <c r="F5">
        <f>2.5-D5</f>
        <v>0.22999999999999998</v>
      </c>
    </row>
    <row r="6" spans="1:6" ht="15.75" x14ac:dyDescent="0.25">
      <c r="A6" s="1" t="s">
        <v>3</v>
      </c>
      <c r="B6">
        <v>10.09</v>
      </c>
      <c r="C6">
        <v>2.14</v>
      </c>
      <c r="D6">
        <v>9.3000000000000007</v>
      </c>
      <c r="E6">
        <f>D6-6.5</f>
        <v>2.8000000000000007</v>
      </c>
      <c r="F6">
        <f>13.5-D6</f>
        <v>4.1999999999999993</v>
      </c>
    </row>
    <row r="7" spans="1:6" ht="15.75" x14ac:dyDescent="0.25">
      <c r="A7" s="1" t="s">
        <v>4</v>
      </c>
      <c r="B7">
        <v>2.08</v>
      </c>
      <c r="C7">
        <v>0.63</v>
      </c>
      <c r="D7">
        <v>2.0699999999999998</v>
      </c>
      <c r="E7">
        <f>D7-1.3</f>
        <v>0.7699999999999998</v>
      </c>
      <c r="F7">
        <f>2.9-D7</f>
        <v>0.83000000000000007</v>
      </c>
    </row>
    <row r="8" spans="1:6" ht="15.75" x14ac:dyDescent="0.25">
      <c r="A8" s="1" t="s">
        <v>5</v>
      </c>
      <c r="B8">
        <v>11.79</v>
      </c>
      <c r="C8">
        <v>2.09</v>
      </c>
      <c r="D8">
        <v>10.34</v>
      </c>
      <c r="E8">
        <f>D8-4</f>
        <v>6.34</v>
      </c>
      <c r="F8">
        <f>12-D8</f>
        <v>1.6600000000000001</v>
      </c>
    </row>
    <row r="9" spans="1:6" ht="31.5" x14ac:dyDescent="0.25">
      <c r="A9" s="1" t="s">
        <v>6</v>
      </c>
      <c r="B9">
        <v>9.4499999999999993</v>
      </c>
      <c r="C9">
        <v>2.0699999999999998</v>
      </c>
      <c r="D9">
        <v>10.85</v>
      </c>
      <c r="E9">
        <f>D9-8</f>
        <v>2.8499999999999996</v>
      </c>
      <c r="F9">
        <f>13-D9</f>
        <v>2.1500000000000004</v>
      </c>
    </row>
    <row r="10" spans="1:6" ht="31.5" x14ac:dyDescent="0.25">
      <c r="A10" s="1" t="s">
        <v>7</v>
      </c>
      <c r="B10">
        <v>0.78</v>
      </c>
      <c r="C10">
        <v>0.19</v>
      </c>
      <c r="D10">
        <v>0.62</v>
      </c>
      <c r="E10">
        <f>D10-0.1</f>
        <v>0.52</v>
      </c>
      <c r="F10">
        <f>0.7-D10</f>
        <v>7.999999999999996E-2</v>
      </c>
    </row>
    <row r="11" spans="1:6" ht="15.75" x14ac:dyDescent="0.25">
      <c r="A11" s="1" t="s">
        <v>8</v>
      </c>
      <c r="B11">
        <v>1.85</v>
      </c>
      <c r="C11">
        <v>0.5</v>
      </c>
      <c r="D11">
        <v>1.45</v>
      </c>
      <c r="E11">
        <f>D11-1.2</f>
        <v>0.25</v>
      </c>
      <c r="F11">
        <f>1.9-D11</f>
        <v>0.44999999999999996</v>
      </c>
    </row>
    <row r="12" spans="1:6" ht="47.25" x14ac:dyDescent="0.25">
      <c r="A12" s="1" t="s">
        <v>9</v>
      </c>
      <c r="B12">
        <v>9.4</v>
      </c>
      <c r="C12">
        <v>2.11</v>
      </c>
      <c r="D12">
        <v>6.2</v>
      </c>
      <c r="E12">
        <f>D12-3</f>
        <v>3.2</v>
      </c>
      <c r="F12">
        <f>9-D12</f>
        <v>2.8</v>
      </c>
    </row>
    <row r="13" spans="1:6" ht="31.5" x14ac:dyDescent="0.25">
      <c r="A13" s="1" t="s">
        <v>10</v>
      </c>
      <c r="B13">
        <v>8.98</v>
      </c>
      <c r="C13">
        <v>2.16</v>
      </c>
      <c r="D13">
        <v>18.61</v>
      </c>
      <c r="E13">
        <f>D13-11</f>
        <v>7.6099999999999994</v>
      </c>
      <c r="F13">
        <f>25-D13</f>
        <v>6.3900000000000006</v>
      </c>
    </row>
    <row r="14" spans="1:6" ht="47.25" x14ac:dyDescent="0.25">
      <c r="A14" s="1" t="s">
        <v>11</v>
      </c>
      <c r="B14">
        <v>36.58</v>
      </c>
      <c r="C14">
        <v>4.6500000000000004</v>
      </c>
      <c r="D14">
        <v>32.090000000000003</v>
      </c>
      <c r="E14">
        <f>D14-17</f>
        <v>15.090000000000003</v>
      </c>
      <c r="F14">
        <f>43-D14</f>
        <v>10.909999999999997</v>
      </c>
    </row>
    <row r="15" spans="1:6" x14ac:dyDescent="0.25">
      <c r="B15">
        <f>SUM(B2:B14)</f>
        <v>99.98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cbn@student.ubc.ca</dc:creator>
  <cp:lastModifiedBy>Northway, Cassidy</cp:lastModifiedBy>
  <dcterms:created xsi:type="dcterms:W3CDTF">2025-05-18T20:36:56Z</dcterms:created>
  <dcterms:modified xsi:type="dcterms:W3CDTF">2025-05-29T21:06:58Z</dcterms:modified>
</cp:coreProperties>
</file>