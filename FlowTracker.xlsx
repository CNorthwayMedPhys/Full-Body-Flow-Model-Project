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nor\Documents\Full Body Flow Model Project\"/>
    </mc:Choice>
  </mc:AlternateContent>
  <xr:revisionPtr revIDLastSave="0" documentId="13_ncr:1_{59B60E3F-45C6-42DB-B854-4F9796DF962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asterSheet" sheetId="9" r:id="rId1"/>
    <sheet name="arteries" sheetId="1" r:id="rId2"/>
    <sheet name="veins-sup" sheetId="2" r:id="rId3"/>
    <sheet name="veins-inf" sheetId="5" r:id="rId4"/>
    <sheet name="A-V Mapping" sheetId="6" r:id="rId5"/>
    <sheet name="Dwell Time Calcs" sheetId="7" r:id="rId6"/>
    <sheet name="Pulm" sheetId="8" r:id="rId7"/>
    <sheet name="PulmArtOld" sheetId="4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9" i="7" l="1"/>
  <c r="D19" i="7" s="1"/>
  <c r="E19" i="7" s="1"/>
  <c r="D20" i="7"/>
  <c r="E20" i="7"/>
  <c r="B18" i="7"/>
  <c r="C18" i="7"/>
  <c r="D18" i="7" s="1"/>
  <c r="E18" i="7" s="1"/>
  <c r="C17" i="7"/>
  <c r="C16" i="7"/>
  <c r="C15" i="7"/>
  <c r="C14" i="7"/>
  <c r="D14" i="7" s="1"/>
  <c r="E14" i="7" s="1"/>
  <c r="E12" i="7"/>
  <c r="E13" i="7"/>
  <c r="D3" i="7"/>
  <c r="D4" i="7"/>
  <c r="D5" i="7"/>
  <c r="D6" i="7"/>
  <c r="D7" i="7"/>
  <c r="D8" i="7"/>
  <c r="D9" i="7"/>
  <c r="D10" i="7"/>
  <c r="D11" i="7"/>
  <c r="D12" i="7"/>
  <c r="D13" i="7"/>
  <c r="D15" i="7"/>
  <c r="E15" i="7" s="1"/>
  <c r="D16" i="7"/>
  <c r="E16" i="7" s="1"/>
  <c r="D17" i="7"/>
  <c r="E17" i="7" s="1"/>
  <c r="B16" i="7"/>
  <c r="B17" i="7"/>
  <c r="B15" i="7"/>
  <c r="B13" i="7"/>
  <c r="B14" i="7"/>
  <c r="B12" i="7"/>
  <c r="G16" i="7"/>
  <c r="G17" i="7"/>
  <c r="G18" i="7"/>
  <c r="G15" i="7"/>
  <c r="G13" i="7"/>
  <c r="G14" i="7"/>
  <c r="G12" i="7"/>
  <c r="F18" i="7"/>
  <c r="F17" i="7"/>
  <c r="F16" i="7"/>
  <c r="F15" i="7"/>
  <c r="F14" i="7"/>
  <c r="I5" i="7"/>
  <c r="H5" i="7"/>
  <c r="E4" i="7"/>
  <c r="B11" i="7"/>
  <c r="B10" i="7"/>
  <c r="D2" i="7"/>
  <c r="E2" i="7" s="1"/>
  <c r="E6" i="7"/>
  <c r="E9" i="7"/>
  <c r="C11" i="7"/>
  <c r="E10" i="7" l="1"/>
  <c r="E11" i="7"/>
  <c r="E5" i="7" l="1"/>
  <c r="E3" i="7"/>
  <c r="E8" i="7"/>
  <c r="E7" i="7"/>
</calcChain>
</file>

<file path=xl/sharedStrings.xml><?xml version="1.0" encoding="utf-8"?>
<sst xmlns="http://schemas.openxmlformats.org/spreadsheetml/2006/main" count="2768" uniqueCount="1173">
  <si>
    <t>Filename</t>
  </si>
  <si>
    <t>Anatomy Name</t>
  </si>
  <si>
    <t>dias_aorta</t>
  </si>
  <si>
    <t>aorta</t>
  </si>
  <si>
    <t>In Flow</t>
  </si>
  <si>
    <t>Out Flow</t>
  </si>
  <si>
    <t>left_ventricle</t>
  </si>
  <si>
    <t>right_ventricle</t>
  </si>
  <si>
    <t>dias_pul_art</t>
  </si>
  <si>
    <t>pulmonary_artery</t>
  </si>
  <si>
    <t>dias_sup_vc</t>
  </si>
  <si>
    <t>x</t>
  </si>
  <si>
    <t>Vessel Fitting</t>
  </si>
  <si>
    <t>arteries0</t>
  </si>
  <si>
    <t>arteries1</t>
  </si>
  <si>
    <t>arteries2</t>
  </si>
  <si>
    <t>arteries3</t>
  </si>
  <si>
    <t>arteries4</t>
  </si>
  <si>
    <t>arteries5</t>
  </si>
  <si>
    <t>arteries6</t>
  </si>
  <si>
    <t>arteries7</t>
  </si>
  <si>
    <t>arteries8</t>
  </si>
  <si>
    <t>arteries9</t>
  </si>
  <si>
    <t>arteries10</t>
  </si>
  <si>
    <t>arteries11</t>
  </si>
  <si>
    <t>arteries12</t>
  </si>
  <si>
    <t>arteries13</t>
  </si>
  <si>
    <t>arteries14</t>
  </si>
  <si>
    <t>arteries15</t>
  </si>
  <si>
    <t>arteries16</t>
  </si>
  <si>
    <t>arteries17</t>
  </si>
  <si>
    <t>arteries18</t>
  </si>
  <si>
    <t>arteries19</t>
  </si>
  <si>
    <t>arteries20</t>
  </si>
  <si>
    <t>arteries21</t>
  </si>
  <si>
    <t>arteries22</t>
  </si>
  <si>
    <t>arteries23</t>
  </si>
  <si>
    <t>arteries24</t>
  </si>
  <si>
    <t>arteries25</t>
  </si>
  <si>
    <t>arteries26</t>
  </si>
  <si>
    <t>arteries27</t>
  </si>
  <si>
    <t>arteries28</t>
  </si>
  <si>
    <t>arteries29</t>
  </si>
  <si>
    <t>arteries30</t>
  </si>
  <si>
    <t>arteries32</t>
  </si>
  <si>
    <t>arteries33</t>
  </si>
  <si>
    <t>arteries34</t>
  </si>
  <si>
    <t>arteries35</t>
  </si>
  <si>
    <t>arteries36</t>
  </si>
  <si>
    <t>arteries37</t>
  </si>
  <si>
    <t>arteries38</t>
  </si>
  <si>
    <t>arteries39</t>
  </si>
  <si>
    <t>arteries40</t>
  </si>
  <si>
    <t>arteries41</t>
  </si>
  <si>
    <t>arteries42</t>
  </si>
  <si>
    <t>arteries43</t>
  </si>
  <si>
    <t>arteries44</t>
  </si>
  <si>
    <t>arteries45</t>
  </si>
  <si>
    <t>arteries46</t>
  </si>
  <si>
    <t>arteries47</t>
  </si>
  <si>
    <t>arteries48</t>
  </si>
  <si>
    <t>arteries49</t>
  </si>
  <si>
    <t>arteries50</t>
  </si>
  <si>
    <t>left_common_cartoid_artery</t>
  </si>
  <si>
    <t>left_subclavian_artery</t>
  </si>
  <si>
    <t>splenic_artery</t>
  </si>
  <si>
    <t>superior_mesenteric_artery</t>
  </si>
  <si>
    <t>left_external_iliac_artery</t>
  </si>
  <si>
    <t>inferior_mesenteric_artery</t>
  </si>
  <si>
    <t>right_external_iliac_artery</t>
  </si>
  <si>
    <t>common_hepatic_artery</t>
  </si>
  <si>
    <t>left_colic_artery</t>
  </si>
  <si>
    <t>sigmod_artery</t>
  </si>
  <si>
    <t xml:space="preserve"> left_colic_artery</t>
  </si>
  <si>
    <t>End Point</t>
  </si>
  <si>
    <t>left_gastric_artery</t>
  </si>
  <si>
    <t>arteries3, arteries28</t>
  </si>
  <si>
    <t>arteries6, arteries20</t>
  </si>
  <si>
    <t>right_subclavian_artery</t>
  </si>
  <si>
    <t>right_carotid_artery</t>
  </si>
  <si>
    <t>arteries8, arteries12</t>
  </si>
  <si>
    <t>left_internal_iliac_artery</t>
  </si>
  <si>
    <t>right_internal_iliac_artery</t>
  </si>
  <si>
    <t>arteries_larm0</t>
  </si>
  <si>
    <t>arteries_larm1</t>
  </si>
  <si>
    <t>arteries_larm2</t>
  </si>
  <si>
    <t>arteries_larm3</t>
  </si>
  <si>
    <t>arteries_larm5</t>
  </si>
  <si>
    <t>arteries_larm6</t>
  </si>
  <si>
    <t>arteries_larm7</t>
  </si>
  <si>
    <t>arteries_larm8</t>
  </si>
  <si>
    <t>arteries_larm9</t>
  </si>
  <si>
    <t>arteries_larm10</t>
  </si>
  <si>
    <t>arteries_larm11</t>
  </si>
  <si>
    <t>arteries_larm12</t>
  </si>
  <si>
    <t>arteries_larm13</t>
  </si>
  <si>
    <t>left_arm_artery</t>
  </si>
  <si>
    <t>arteries_larm12, arteries_larm8, arteries_larm1, arteries_larm0</t>
  </si>
  <si>
    <t>arteries_larm7, arteries_larm3</t>
  </si>
  <si>
    <t>arteries_larm6, arteries_larm10, arteries_larm5, arteries_larm9</t>
  </si>
  <si>
    <t>arteries_lleg0</t>
  </si>
  <si>
    <t>arteries_lleg1</t>
  </si>
  <si>
    <t>arteries_lleg2</t>
  </si>
  <si>
    <t>arteries_lleg3</t>
  </si>
  <si>
    <t>arteries_lleg4</t>
  </si>
  <si>
    <t>arteries_lleg5</t>
  </si>
  <si>
    <t>arteries_lleg6</t>
  </si>
  <si>
    <t>arteries_lleg9</t>
  </si>
  <si>
    <t>arteries_lleg10</t>
  </si>
  <si>
    <t>arteries_lleg11</t>
  </si>
  <si>
    <t>arteries_lleg12</t>
  </si>
  <si>
    <t>arteries_lleg13</t>
  </si>
  <si>
    <t>arteries_lleg14</t>
  </si>
  <si>
    <t>arteries_lleg15</t>
  </si>
  <si>
    <t>arteries_lleg16</t>
  </si>
  <si>
    <t>arteries_lleg17</t>
  </si>
  <si>
    <t>arteries_lleg19</t>
  </si>
  <si>
    <t>arteries_lleg20</t>
  </si>
  <si>
    <t>arteries_lleg21</t>
  </si>
  <si>
    <t>arteries_lleg22</t>
  </si>
  <si>
    <t>arteries_lleg23</t>
  </si>
  <si>
    <t>arteries_lleg24</t>
  </si>
  <si>
    <t>arteries_lleg25</t>
  </si>
  <si>
    <t>arteries_lleg26</t>
  </si>
  <si>
    <t>arteries_lleg27</t>
  </si>
  <si>
    <t>arteries_lleg28</t>
  </si>
  <si>
    <t>arteries_lleg29</t>
  </si>
  <si>
    <t>left_leg_artery</t>
  </si>
  <si>
    <t>arteries_lleg0, arteries_lleg3, arteries_lleg5, arteries_lleg25, arteries_lleg29</t>
  </si>
  <si>
    <t>arteries_lleg1, arteries_lleg4, arteries_lleg9, arteries_lleg15</t>
  </si>
  <si>
    <t>arteries_12</t>
  </si>
  <si>
    <t>arteries_lumb0</t>
  </si>
  <si>
    <t>arteries_lumb1</t>
  </si>
  <si>
    <t>arteries_lumb2</t>
  </si>
  <si>
    <t>arteries_lumb3</t>
  </si>
  <si>
    <t>arteries_lumb4</t>
  </si>
  <si>
    <t>arteries_lumb5</t>
  </si>
  <si>
    <t>arteries_lumb6</t>
  </si>
  <si>
    <t>left_pulmonary_arts0</t>
  </si>
  <si>
    <t>left_pulmonary_arts1</t>
  </si>
  <si>
    <t>left_pulmonary_arts2</t>
  </si>
  <si>
    <t>left_pulmonary_arts3</t>
  </si>
  <si>
    <t>left_pulmonary_arts4</t>
  </si>
  <si>
    <t>left_pulmonary_arts5</t>
  </si>
  <si>
    <t>left_pulmonary_arts6</t>
  </si>
  <si>
    <t>left_pulmonary_arts7</t>
  </si>
  <si>
    <t>left_pulmonary_arts8</t>
  </si>
  <si>
    <t>left_pulmonary_arts9</t>
  </si>
  <si>
    <t>left_pulmonary_arts10</t>
  </si>
  <si>
    <t>left_pulmonary_arts11</t>
  </si>
  <si>
    <t>left_pulmonary_arts12</t>
  </si>
  <si>
    <t>left_pulmonary_arts13</t>
  </si>
  <si>
    <t>left_pulmonary_arts14</t>
  </si>
  <si>
    <t>left_pulmonary_arts15</t>
  </si>
  <si>
    <t>left_pulmonary_arts16</t>
  </si>
  <si>
    <t>left_pulmonary_arts17</t>
  </si>
  <si>
    <t>left_pulmonary_arts18</t>
  </si>
  <si>
    <t>left_pulmonary_arts19</t>
  </si>
  <si>
    <t>left_pulmonary_arts20</t>
  </si>
  <si>
    <t>left_pulmonary_arts21</t>
  </si>
  <si>
    <t>left_pulmonary_arts22</t>
  </si>
  <si>
    <t>left_pulmonary_arts23</t>
  </si>
  <si>
    <t>left_pulmonary_arts24</t>
  </si>
  <si>
    <t>left_pulmonary_arts25</t>
  </si>
  <si>
    <t>left_pulmonary_arts26</t>
  </si>
  <si>
    <t>left_pulmonary_arts27</t>
  </si>
  <si>
    <t>left_pulmonary_arts28</t>
  </si>
  <si>
    <t>left_pulmonary_arts29</t>
  </si>
  <si>
    <t>left_pulmonary_arts30</t>
  </si>
  <si>
    <t>left_pulmonary_arts31</t>
  </si>
  <si>
    <t>left_pulmonary_arts32</t>
  </si>
  <si>
    <t>left_pulmonary_arts33</t>
  </si>
  <si>
    <t>left_pulmonary_arts34</t>
  </si>
  <si>
    <t>left_pulmonary_arts35</t>
  </si>
  <si>
    <t>left_pulmonary_arts36</t>
  </si>
  <si>
    <t>left_pulmonary_arts37</t>
  </si>
  <si>
    <t>left_pulmonary_arts38</t>
  </si>
  <si>
    <t>left_pulmonary_arts39</t>
  </si>
  <si>
    <t>left_pulmonary_arts40</t>
  </si>
  <si>
    <t>left_pulmonary_arts41</t>
  </si>
  <si>
    <t>left_pulmonary_arts42</t>
  </si>
  <si>
    <t>left_pulmonary_arts43</t>
  </si>
  <si>
    <t>left_pulmonary_arts44</t>
  </si>
  <si>
    <t>left_pulmonary_arts45</t>
  </si>
  <si>
    <t>left_pulmonary_arts46</t>
  </si>
  <si>
    <t>left_pulmonary_arts47</t>
  </si>
  <si>
    <t>left_pulmonary_arts48</t>
  </si>
  <si>
    <t>left_pulmonary_arts49</t>
  </si>
  <si>
    <t>left_pulmonary_arts50</t>
  </si>
  <si>
    <t>left_pulmonary_arts51</t>
  </si>
  <si>
    <t>left_pulmonary_arts52</t>
  </si>
  <si>
    <t>left_pulmonary_arts53</t>
  </si>
  <si>
    <t>left_pulmonary_arts54</t>
  </si>
  <si>
    <t>left_pulmonary_arts55</t>
  </si>
  <si>
    <t>left_pulmonary_arts56</t>
  </si>
  <si>
    <t>left_pulmonary_arts57</t>
  </si>
  <si>
    <t>left_pulmonary_arts58</t>
  </si>
  <si>
    <t>left_pulmonary_arts59</t>
  </si>
  <si>
    <t>left_pulmonary_arts60</t>
  </si>
  <si>
    <t>left_pulmonary_arts61</t>
  </si>
  <si>
    <t>left_pulmonary_arts62</t>
  </si>
  <si>
    <t>left_pulmonary_arts63</t>
  </si>
  <si>
    <t>left_pulmonary_arts64</t>
  </si>
  <si>
    <t>left_pulmonary_arts65</t>
  </si>
  <si>
    <t>left_pulmonary_arts66</t>
  </si>
  <si>
    <t>left_pulmonary_arts67</t>
  </si>
  <si>
    <t>left_pulmonary_arts68</t>
  </si>
  <si>
    <t>left_pulmonary_arts69</t>
  </si>
  <si>
    <t>left_pulmonary_arts70</t>
  </si>
  <si>
    <t>left_pulmonary_arts71</t>
  </si>
  <si>
    <t>left_pulmonary_arts72</t>
  </si>
  <si>
    <t>left_pulmonary_arts73</t>
  </si>
  <si>
    <t>left_pulmonary_arts74</t>
  </si>
  <si>
    <t>left_pulmonary_arts75</t>
  </si>
  <si>
    <t>left_pulmonary_arts76</t>
  </si>
  <si>
    <t>left_pulmonary_arts77</t>
  </si>
  <si>
    <t>left_pulmonary_arts78</t>
  </si>
  <si>
    <t>left_pulmonary_arts79</t>
  </si>
  <si>
    <t>left_pulmonary_arts80</t>
  </si>
  <si>
    <t>left_pulmonary_arts81</t>
  </si>
  <si>
    <t>left_pulmonary_arts82</t>
  </si>
  <si>
    <t>left_pulmonary_arts83</t>
  </si>
  <si>
    <t>left_pulmonary_arts84</t>
  </si>
  <si>
    <t>left_pulmonary_arts85</t>
  </si>
  <si>
    <t>left_pulmonary_arts86</t>
  </si>
  <si>
    <t>left_pulmonary_arts87</t>
  </si>
  <si>
    <t>left_pulmonary_arts88</t>
  </si>
  <si>
    <t>left_pulmonary_arts89</t>
  </si>
  <si>
    <t>left_pulmonary_arts90</t>
  </si>
  <si>
    <t>left_pulmonary_arts91</t>
  </si>
  <si>
    <t>left_pulmonary_arts92</t>
  </si>
  <si>
    <t>left_pulmonary_arts93</t>
  </si>
  <si>
    <t>left_pulmonary_arts94</t>
  </si>
  <si>
    <t>left_pulmonary_arts95</t>
  </si>
  <si>
    <t>left_pulmonary_arts96</t>
  </si>
  <si>
    <t>left_pulmonary_arts97</t>
  </si>
  <si>
    <t>left_pulmonary_arts98</t>
  </si>
  <si>
    <t>left_pulmonary_arts99</t>
  </si>
  <si>
    <t>left_pulmonary_arts100</t>
  </si>
  <si>
    <t>left_pulmonary_arts101</t>
  </si>
  <si>
    <t>left_pulmonary_arts102</t>
  </si>
  <si>
    <t>left_pulmonary_arts103</t>
  </si>
  <si>
    <t>left_pulmonary_arts104</t>
  </si>
  <si>
    <t>left_pulmonary_arts105</t>
  </si>
  <si>
    <t>left_pulmonary_arts106</t>
  </si>
  <si>
    <t>left_pulmonary_arts107</t>
  </si>
  <si>
    <t>left_pulmonary_arts108</t>
  </si>
  <si>
    <t>left_pulmonary_arts109</t>
  </si>
  <si>
    <t>left_pulmonary_arts110</t>
  </si>
  <si>
    <t>left_pulmonary_arts111</t>
  </si>
  <si>
    <t>left_pulmonary_arts112</t>
  </si>
  <si>
    <t>left_pulmonary_arts113</t>
  </si>
  <si>
    <t>left_pulmonary_arts114</t>
  </si>
  <si>
    <t>left_pulmonary_arts115</t>
  </si>
  <si>
    <t>left_pulmonary_arts116</t>
  </si>
  <si>
    <t>left_pulmonary_arts117</t>
  </si>
  <si>
    <t>left_pulmonary_arts118</t>
  </si>
  <si>
    <t>left_pulmonary_arts119</t>
  </si>
  <si>
    <t>left_pulmonary_arts120</t>
  </si>
  <si>
    <t>left_pulmonary_arts121</t>
  </si>
  <si>
    <t>left_pulmonary_arts122</t>
  </si>
  <si>
    <t>left_pulmonary_arts123</t>
  </si>
  <si>
    <t>left_pulmonary_arts124</t>
  </si>
  <si>
    <t>left_pulmonary_arts125</t>
  </si>
  <si>
    <t>left_pulmonary_arts126</t>
  </si>
  <si>
    <t>left_pulmonary_arts127</t>
  </si>
  <si>
    <t>left_pulmonary_arts128</t>
  </si>
  <si>
    <t>left_pulmonary_arts129</t>
  </si>
  <si>
    <t>left_pulmonary_arts130</t>
  </si>
  <si>
    <t>left_pulmonary_arts131</t>
  </si>
  <si>
    <t>left_pulmonary_arts132</t>
  </si>
  <si>
    <t>left_pulmonary_arts133</t>
  </si>
  <si>
    <t>left_pulmonary_arts134</t>
  </si>
  <si>
    <t>left_pulmonary_arts135</t>
  </si>
  <si>
    <t>left_pulmonary_arts136</t>
  </si>
  <si>
    <t>left_pulmonary_arts137</t>
  </si>
  <si>
    <t>left_pulmonary_arts138</t>
  </si>
  <si>
    <t>left_pulmonary_arts139</t>
  </si>
  <si>
    <t>left_pulmonary_arts140</t>
  </si>
  <si>
    <t>left_pulmonary_arts141</t>
  </si>
  <si>
    <t>left_pulmonary_arts142</t>
  </si>
  <si>
    <t>left_pulmonary_arts143</t>
  </si>
  <si>
    <t>left_pulmonary_arts144</t>
  </si>
  <si>
    <t>left_pulmonary_arts145</t>
  </si>
  <si>
    <t>left_pulmonary_arts146</t>
  </si>
  <si>
    <t>left_pulmonary_arts147</t>
  </si>
  <si>
    <t>left_pulmonary_arts148</t>
  </si>
  <si>
    <t>left_pulmonary_arts149</t>
  </si>
  <si>
    <t>left_pulmonary_arts150</t>
  </si>
  <si>
    <t>left_pulmonary_arts151</t>
  </si>
  <si>
    <t>left_pulmonary_arts152</t>
  </si>
  <si>
    <t>left_pulmonary_arts153</t>
  </si>
  <si>
    <t>left_pulmonary_arts154</t>
  </si>
  <si>
    <t>left_pulmonary_arts155</t>
  </si>
  <si>
    <t>left_pulmonary_arts156</t>
  </si>
  <si>
    <t>left_pulmonary_arts157</t>
  </si>
  <si>
    <t>left_pulmonary_arts158</t>
  </si>
  <si>
    <t>left_pulmonary_arts159</t>
  </si>
  <si>
    <t>left_pulmonary_arts160</t>
  </si>
  <si>
    <t>left_pulmonary_arts161</t>
  </si>
  <si>
    <t>left_pulmonary_arts162</t>
  </si>
  <si>
    <t>left_pulmonary_arts163</t>
  </si>
  <si>
    <t>left_pulmonary_arts164</t>
  </si>
  <si>
    <t>left_pulmonary_arts165</t>
  </si>
  <si>
    <t>left_pulmonary_arts166</t>
  </si>
  <si>
    <t>left_pulmonary_arts167</t>
  </si>
  <si>
    <t>left_pulmonary_arts168</t>
  </si>
  <si>
    <t>left_pulmonary_arts169</t>
  </si>
  <si>
    <t>left_pulmonary_arts170</t>
  </si>
  <si>
    <t>left_pulmonary_arts171</t>
  </si>
  <si>
    <t>left_pulmonary_arts172</t>
  </si>
  <si>
    <t>left_pulmonary_arts173</t>
  </si>
  <si>
    <t>left_pulmonary_arts174</t>
  </si>
  <si>
    <t>left_pulmonary_arts175</t>
  </si>
  <si>
    <t>left_pulmonary_arts176</t>
  </si>
  <si>
    <t>left_pulmonary_artery</t>
  </si>
  <si>
    <t>left_pulmonary_arts1, left_pulmonary_arts3, left_pulmonary_arts157, left_pulmonary_arts142, left_pulmonary_arts146, left_pulmonary_arts155, left_pulmonary_arts22, left_pulmonary_arts26, left_pulmonary_arts24, left_pulmonary_arts153, left_pulmonary_arts156, left_pulmonary_arts137, left_pulmonary_arts172, left_pulmonary_arts165, left_pulmonary_arts150, left_pulmonary_arts158, left_pulmonary_arts166</t>
  </si>
  <si>
    <t>left_pulmonary_arts168, left_pulmonary_arts171, left_pulmonary_arts175, left_pulmonary_arts176, left_pulmonary_arts173</t>
  </si>
  <si>
    <t>left_pulmonary_arts168, left_pulmonary_arts176, left_pulmonary_arts41</t>
  </si>
  <si>
    <t>left_pulmonary_arts106, left_pulmonary_arts40</t>
  </si>
  <si>
    <t>left_pulmonary_arts36, left_pulmonary_arts80</t>
  </si>
  <si>
    <t>left_pulmonary_arts6, left_pulmonary_arts159</t>
  </si>
  <si>
    <t>left_pulmonary_arts79, 115</t>
  </si>
  <si>
    <t>left_pulmonary_arts162,  left_pulmonary_arts18, left_pulmonary_arts17, left_pulmonary_arts68, left_pulmonary_arts161, left_pulmonary_arts160, left_pulmonary_arts14</t>
  </si>
  <si>
    <t>left_pulmonary_arts82, left_pulmonary_arts7</t>
  </si>
  <si>
    <t>left_pulmonary_arts120, left_pulmonary_arts8</t>
  </si>
  <si>
    <t>left_pulmonary_arts76, left_pulmonary_arts92</t>
  </si>
  <si>
    <t>left_pulmonary_arts69,  left_pulmonary_arts102</t>
  </si>
  <si>
    <t>left_pulmonary_arts13, left_pulmonary_arts94</t>
  </si>
  <si>
    <t>left_pulmonary_arts0, left_pulmonary_arts5, left_pulmonary_arts149, left_pulmonary_arts37, left_pulmonary_arts38, left_pulmonary_arts39</t>
  </si>
  <si>
    <t>left_pulmonary_arts4, left_pulmonary_arts12, left_pulmonary_arts15, left_pulmonary_arts16</t>
  </si>
  <si>
    <t>left_pulmonary_arts117, left_pulmonary_arts121</t>
  </si>
  <si>
    <t>left_pulmonary_art11, left_pulmonary_art10, left_pulmonary_art9</t>
  </si>
  <si>
    <t>left_pulmonary_arts135, left_pulmonary_arts122</t>
  </si>
  <si>
    <t>left_pulmonary_art81</t>
  </si>
  <si>
    <t>left_pulmonary_arts151, left_pulmonary_arts152</t>
  </si>
  <si>
    <t>left_pulmonary_arts144, left_pulmonary_arts145</t>
  </si>
  <si>
    <t>left_pulmonary_art53, left_pulmonary_art97, left_pulmonary_art52, left_pulmonary_art51, left_pulmonary_art129, left_pulmonary_art123, left_pulmonary_art125</t>
  </si>
  <si>
    <t>left_pulmonary_arts65, left_pulmonary_arts128</t>
  </si>
  <si>
    <t>left_pulmonary_arts67, left_pulmonary_arts131</t>
  </si>
  <si>
    <t>left_pulmonary_arts124, left_pulmonary_arts132, left_pulmonary_arts127</t>
  </si>
  <si>
    <t>left_pulmonary_art154, left_pulmonary_art148, left_pulmonary_art147, left_pulmonary_art143, left_pulmonary_art20, left_pulmonary_art137</t>
  </si>
  <si>
    <t>left_pulmonary_arts59, left_pulmonary_arts93</t>
  </si>
  <si>
    <t>left_pulmonary_arts90, left_pulmonary_arts58, left_pulmonary_arts105</t>
  </si>
  <si>
    <t>left_pulmonary_arts86, left_pulmonary_arts, 74, left_pulmonary_arts113, left_pulmonary_arts27</t>
  </si>
  <si>
    <t>left_pulmonary_arts28, left_pulmonary_arts61</t>
  </si>
  <si>
    <t>left_pulmonary_arts77, left_pulmonary_arts84, left_pulmonary_arts29</t>
  </si>
  <si>
    <t>left_pulmonary_arts96, left_pulmonary_arts95</t>
  </si>
  <si>
    <t>left_pulmonary_arts30, left_pulmonary_arts32</t>
  </si>
  <si>
    <t>left_pulmonary_arts33, left_pulmonary_arts31</t>
  </si>
  <si>
    <t>left_pulmonary_arts75, left_pulmonary_arts98</t>
  </si>
  <si>
    <t>left_pulmonary_arts62, left_pulmonary_arts119</t>
  </si>
  <si>
    <t>left_pulmonary_arts63, left_pulmonary_arts64</t>
  </si>
  <si>
    <t>left_pulmonary_arts164, left_pulmonary_arts50</t>
  </si>
  <si>
    <t>left_pulmonary_arts141, left_pulmonary_arts85</t>
  </si>
  <si>
    <t>left_pulmonary_arts133, left_pulmonary_arts73</t>
  </si>
  <si>
    <t>left_pulmonary_arts109. left_pulmonary_arts112, left_pulmonary_arts100</t>
  </si>
  <si>
    <t>left_pulmonary_arts57, left_pulmonary_arts114</t>
  </si>
  <si>
    <t>left_pulmonary_arts87, left_pulmonary_arts101</t>
  </si>
  <si>
    <t xml:space="preserve"> left_pulmonary_arts56</t>
  </si>
  <si>
    <t>left_pulmonary_arts139, left_pulmonary_arts60</t>
  </si>
  <si>
    <t>left_pulmonary_arts110, left_pulmonary_arts72</t>
  </si>
  <si>
    <t>left_pulmonary_art23, left_pulmonary_art111, left_pulmonary_art76</t>
  </si>
  <si>
    <t>left_pulmonary_arts167, left_pulmonary_arts91, left_pulmonary_arts89</t>
  </si>
  <si>
    <t>left_pulmonary_arts88, left_pulmonary_arts116</t>
  </si>
  <si>
    <t>left_pulmonary_arts169, left_pulmonary_arts99, left_pulmonary_arts46, left_pulmonary_arts45, left_pulmonary_arts43, left_pulmonary_arts44, left_pulmonary_arts104, left_pulmonary_arts136</t>
  </si>
  <si>
    <t>left_pulmonary_arts47, left_pulmonary_arts138, left_pulmonary_arts103</t>
  </si>
  <si>
    <t>lkidney_arteries0</t>
  </si>
  <si>
    <t>lkidney_arteries1</t>
  </si>
  <si>
    <t>lkidney_arteries2</t>
  </si>
  <si>
    <t>lkidney_arteries3</t>
  </si>
  <si>
    <t>lkidney_arteries4</t>
  </si>
  <si>
    <t>lkidney_arteries6</t>
  </si>
  <si>
    <t>lkidney_arteries7</t>
  </si>
  <si>
    <t>lkidney_arteries8</t>
  </si>
  <si>
    <t>lkidney_arteries9</t>
  </si>
  <si>
    <t>lkidney_arteries11</t>
  </si>
  <si>
    <t>lkidney_arteries12</t>
  </si>
  <si>
    <t>lkidney_arteries13</t>
  </si>
  <si>
    <t>lkidney_arteries14</t>
  </si>
  <si>
    <t>lkidney_arteries15</t>
  </si>
  <si>
    <t>lkidney_arteries16</t>
  </si>
  <si>
    <t>lkidney_arteries17</t>
  </si>
  <si>
    <t>lkidney_arteries18</t>
  </si>
  <si>
    <t>lkidney_arteries19</t>
  </si>
  <si>
    <t>lkidney_arteries20</t>
  </si>
  <si>
    <t>lkidney_arteries21</t>
  </si>
  <si>
    <t>lkidney_arteries22</t>
  </si>
  <si>
    <t>left_superior_renal_artery</t>
  </si>
  <si>
    <t>left_inferior_renal_artery</t>
  </si>
  <si>
    <t>lkidney_arteries4, lkidney_arteries2, lkidney_arteries8, lkidney_arteries11, lkidney_arteries12, lkidney_arteries14, lkidney_arteries17, lkidney_arteries18</t>
  </si>
  <si>
    <t>lkidney_arteries1, lkidney_arteries6, lkidney_arteries15, lkidney_arteries20</t>
  </si>
  <si>
    <t>lkidney_arteries16, lkidney_arteries19</t>
  </si>
  <si>
    <t>right_pulmonary_art0</t>
  </si>
  <si>
    <t>right_pulmonary_art1</t>
  </si>
  <si>
    <t>right_pulmonary_art2</t>
  </si>
  <si>
    <t>right_pulmonary_art3</t>
  </si>
  <si>
    <t>right_pulmonary_art4</t>
  </si>
  <si>
    <t>right_pulmonary_art5</t>
  </si>
  <si>
    <t>right_pulmonary_art6</t>
  </si>
  <si>
    <t>right_pulmonary_art7</t>
  </si>
  <si>
    <t>right_pulmonary_art8</t>
  </si>
  <si>
    <t>right_pulmonary_art9</t>
  </si>
  <si>
    <t>right_pulmonary_art10</t>
  </si>
  <si>
    <t>right_pulmonary_art11</t>
  </si>
  <si>
    <t>right_pulmonary_art12</t>
  </si>
  <si>
    <t>right_pulmonary_art13</t>
  </si>
  <si>
    <t>right_pulmonary_art14</t>
  </si>
  <si>
    <t>right_pulmonary_art15</t>
  </si>
  <si>
    <t>right_pulmonary_art16</t>
  </si>
  <si>
    <t>right_pulmonary_art17</t>
  </si>
  <si>
    <t>right_pulmonary_art18</t>
  </si>
  <si>
    <t>right_pulmonary_art19</t>
  </si>
  <si>
    <t>right_pulmonary_art20</t>
  </si>
  <si>
    <t>right_pulmonary_art21</t>
  </si>
  <si>
    <t>right_pulmonary_art22</t>
  </si>
  <si>
    <t>right_pulmonary_art23</t>
  </si>
  <si>
    <t>right_pulmonary_art24</t>
  </si>
  <si>
    <t>right_pulmonary_art25</t>
  </si>
  <si>
    <t>right_pulmonary_art26</t>
  </si>
  <si>
    <t>right_pulmonary_art27</t>
  </si>
  <si>
    <t>right_pulmonary_art28</t>
  </si>
  <si>
    <t>right_pulmonary_art29</t>
  </si>
  <si>
    <t>right_pulmonary_art30</t>
  </si>
  <si>
    <t>right_pulmonary_art31</t>
  </si>
  <si>
    <t>right_pulmonary_art32</t>
  </si>
  <si>
    <t>right_pulmonary_art33</t>
  </si>
  <si>
    <t>right_pulmonary_art34</t>
  </si>
  <si>
    <t>right_pulmonary_art35</t>
  </si>
  <si>
    <t>right_pulmonary_art36</t>
  </si>
  <si>
    <t>right_pulmonary_art37</t>
  </si>
  <si>
    <t>right_pulmonary_art38</t>
  </si>
  <si>
    <t>right_pulmonary_art39</t>
  </si>
  <si>
    <t>right_pulmonary_art40</t>
  </si>
  <si>
    <t>right_pulmonary_art41</t>
  </si>
  <si>
    <t>right_pulmonary_art42</t>
  </si>
  <si>
    <t>right_pulmonary_art43</t>
  </si>
  <si>
    <t>right_pulmonary_art44</t>
  </si>
  <si>
    <t>right_pulmonary_art45</t>
  </si>
  <si>
    <t>right_pulmonary_art46</t>
  </si>
  <si>
    <t>right_pulmonary_art47</t>
  </si>
  <si>
    <t>right_pulmonary_art48</t>
  </si>
  <si>
    <t>right_pulmonary_art49</t>
  </si>
  <si>
    <t>right_pulmonary_art50</t>
  </si>
  <si>
    <t>right_pulmonary_art51</t>
  </si>
  <si>
    <t>right_pulmonary_art52</t>
  </si>
  <si>
    <t>right_pulmonary_art53</t>
  </si>
  <si>
    <t>right_pulmonary_art54</t>
  </si>
  <si>
    <t>right_pulmonary_art55</t>
  </si>
  <si>
    <t>right_pulmonary_art56</t>
  </si>
  <si>
    <t>right_pulmonary_art57</t>
  </si>
  <si>
    <t>right_pulmonary_art58</t>
  </si>
  <si>
    <t>right_pulmonary_art59</t>
  </si>
  <si>
    <t>right_pulmonary_art60</t>
  </si>
  <si>
    <t>right_pulmonary_art61</t>
  </si>
  <si>
    <t>right_pulmonary_art62</t>
  </si>
  <si>
    <t>right_pulmonary_art63</t>
  </si>
  <si>
    <t>right_pulmonary_art64</t>
  </si>
  <si>
    <t>right_pulmonary_art65</t>
  </si>
  <si>
    <t>right_pulmonary_art66</t>
  </si>
  <si>
    <t>right_pulmonary_art67</t>
  </si>
  <si>
    <t>right_pulmonary_art68</t>
  </si>
  <si>
    <t>right_pulmonary_art69</t>
  </si>
  <si>
    <t>right_pulmonary_art70</t>
  </si>
  <si>
    <t>right_pulmonary_art71</t>
  </si>
  <si>
    <t>right_pulmonary_art72</t>
  </si>
  <si>
    <t>right_pulmonary_art73</t>
  </si>
  <si>
    <t>right_pulmonary_art74</t>
  </si>
  <si>
    <t>right_pulmonary_art75</t>
  </si>
  <si>
    <t>right_pulmonary_art76</t>
  </si>
  <si>
    <t>right_pulmonary_art77</t>
  </si>
  <si>
    <t>right_pulmonary_art78</t>
  </si>
  <si>
    <t>right_pulmonary_art79</t>
  </si>
  <si>
    <t>right_pulmonary_art80</t>
  </si>
  <si>
    <t>right_pulmonary_art81</t>
  </si>
  <si>
    <t>right_pulmonary_art82</t>
  </si>
  <si>
    <t>right_pulmonary_art83</t>
  </si>
  <si>
    <t>right_pulmonary_art84</t>
  </si>
  <si>
    <t>right_pulmonary_art85</t>
  </si>
  <si>
    <t>right_pulmonary_art86</t>
  </si>
  <si>
    <t>right_pulmonary_art87</t>
  </si>
  <si>
    <t>right_pulmonary_art88</t>
  </si>
  <si>
    <t>right_pulmonary_art89</t>
  </si>
  <si>
    <t>right_pulmonary_art90</t>
  </si>
  <si>
    <t>right_pulmonary_art91</t>
  </si>
  <si>
    <t>right_pulmonary_art92</t>
  </si>
  <si>
    <t>right_pulmonary_art93</t>
  </si>
  <si>
    <t>right_pulmonary_art94</t>
  </si>
  <si>
    <t>right_pulmonary_art95</t>
  </si>
  <si>
    <t>right_pulmonary_art96</t>
  </si>
  <si>
    <t>right_pulmonary_art97</t>
  </si>
  <si>
    <t>right_pulmonary_art98</t>
  </si>
  <si>
    <t>right_pulmonary_art99</t>
  </si>
  <si>
    <t>right_pulmonary_art100</t>
  </si>
  <si>
    <t>right_pulmonary_art101</t>
  </si>
  <si>
    <t>right_pulmonary_art102</t>
  </si>
  <si>
    <t>right_pulmonary_art103</t>
  </si>
  <si>
    <t>right_pulmonary_art104</t>
  </si>
  <si>
    <t>right_pulmonary_art105</t>
  </si>
  <si>
    <t>right_pulmonary_art106</t>
  </si>
  <si>
    <t>right_pulmonary_art107</t>
  </si>
  <si>
    <t>right_pulmonary_art108</t>
  </si>
  <si>
    <t>right_pulmonary_art109</t>
  </si>
  <si>
    <t>right_pulmonary_art110</t>
  </si>
  <si>
    <t>right_pulmonary_art111</t>
  </si>
  <si>
    <t>right_pulmonary_art112</t>
  </si>
  <si>
    <t>right_pulmonary_art113</t>
  </si>
  <si>
    <t>right_pulmonary_art114</t>
  </si>
  <si>
    <t>right_pulmonary_art115</t>
  </si>
  <si>
    <t>right_pulmonary_art116</t>
  </si>
  <si>
    <t>right_pulmonary_art117</t>
  </si>
  <si>
    <t>right_pulmonary_art118</t>
  </si>
  <si>
    <t>right_pulmonary_art119</t>
  </si>
  <si>
    <t>right_pulmonary_art120</t>
  </si>
  <si>
    <t>right_pulmonary_art121</t>
  </si>
  <si>
    <t>right_pulmonary_art122</t>
  </si>
  <si>
    <t>right_pulmonary_art123</t>
  </si>
  <si>
    <t>right_pulmonary_art124</t>
  </si>
  <si>
    <t>right_pulmonary_art125</t>
  </si>
  <si>
    <t>right_pulmonary_art126</t>
  </si>
  <si>
    <t>right_pulmonary_art127</t>
  </si>
  <si>
    <t>right_pulmonary_art128</t>
  </si>
  <si>
    <t>right_pulmonary_art129</t>
  </si>
  <si>
    <t>right_pulmonary_art130</t>
  </si>
  <si>
    <t>right_pulmonary_art131</t>
  </si>
  <si>
    <t>right_pulmonary_art132</t>
  </si>
  <si>
    <t>right_pulmonary_art133</t>
  </si>
  <si>
    <t>right_pulmonary_art134</t>
  </si>
  <si>
    <t>right_pulmonary_art135</t>
  </si>
  <si>
    <t>right_pulmonary_art136</t>
  </si>
  <si>
    <t>right_pulmonary_art137</t>
  </si>
  <si>
    <t>right_pulmonary_art138</t>
  </si>
  <si>
    <t>right_pulmonary_art139</t>
  </si>
  <si>
    <t>right_pulmonary_art140</t>
  </si>
  <si>
    <t>right_pulmonary_art141</t>
  </si>
  <si>
    <t>right_pulmonary_art142</t>
  </si>
  <si>
    <t>right_pulmonary_art143</t>
  </si>
  <si>
    <t>right_pulmonary_art144</t>
  </si>
  <si>
    <t>right_pulmonary_art145</t>
  </si>
  <si>
    <t>right_pulmonary_art146</t>
  </si>
  <si>
    <t>right_pulmonary_art147</t>
  </si>
  <si>
    <t>right_pulmonary_art148</t>
  </si>
  <si>
    <t>right_pulmonary_art149</t>
  </si>
  <si>
    <t>right_pulmonary_art150</t>
  </si>
  <si>
    <t>right_pulmonary_art151</t>
  </si>
  <si>
    <t>right_pulmonary_art152</t>
  </si>
  <si>
    <t>right_pulmonary_art153</t>
  </si>
  <si>
    <t>right_pulmonary_art154</t>
  </si>
  <si>
    <t>right_pulmonary_art155</t>
  </si>
  <si>
    <t>right_pulmonary_art156</t>
  </si>
  <si>
    <t>right_pulmonary_art157</t>
  </si>
  <si>
    <t>right_pulmonary_art158</t>
  </si>
  <si>
    <t>right_pulmonary_art159</t>
  </si>
  <si>
    <t>right_pulmonary_art160</t>
  </si>
  <si>
    <t>right_pulmonary_art161</t>
  </si>
  <si>
    <t>right_pulmonary_art162</t>
  </si>
  <si>
    <t>right_pulmonary_art163</t>
  </si>
  <si>
    <t>right_pulmonary_art164</t>
  </si>
  <si>
    <t>right_pulmonary_art165</t>
  </si>
  <si>
    <t>right_pulmonary_art166</t>
  </si>
  <si>
    <t>right_pulmonary_art167</t>
  </si>
  <si>
    <t>right_pulmonary_art168</t>
  </si>
  <si>
    <t>right_pulmonary_art169</t>
  </si>
  <si>
    <t>right_pulmonary_art170</t>
  </si>
  <si>
    <t>right_pulmonary_art171</t>
  </si>
  <si>
    <t>right_pulmonary_art172</t>
  </si>
  <si>
    <t>right_pulmonary_art173</t>
  </si>
  <si>
    <t>right_pulmonary_art174</t>
  </si>
  <si>
    <t>right_pulmonary_art175</t>
  </si>
  <si>
    <t>right_pulmonary_art176</t>
  </si>
  <si>
    <t>right_pulmonary_art177</t>
  </si>
  <si>
    <t>right_pulmonary_art178</t>
  </si>
  <si>
    <t>right_pulmonary_art179</t>
  </si>
  <si>
    <t>right_pulmonary_art180</t>
  </si>
  <si>
    <t>right_pulmonary_art181</t>
  </si>
  <si>
    <t>right_pulmonary_art182</t>
  </si>
  <si>
    <t>right_pulmonary_art183</t>
  </si>
  <si>
    <t>right_pulmonary_art184</t>
  </si>
  <si>
    <t>right_pulmonary_art185</t>
  </si>
  <si>
    <t>right_pulmonary_art186</t>
  </si>
  <si>
    <t>right_pulmonary_art187</t>
  </si>
  <si>
    <t>right_pulmonary_art188</t>
  </si>
  <si>
    <t>right_pulmonary_art189</t>
  </si>
  <si>
    <t>right_pulmonary_art190</t>
  </si>
  <si>
    <t>right_pulmonary_art191</t>
  </si>
  <si>
    <t>right_pulmonary_art192</t>
  </si>
  <si>
    <t>right_pulmonary_art193</t>
  </si>
  <si>
    <t>right_pulmonary_art194</t>
  </si>
  <si>
    <t>right_pulmonary_art195</t>
  </si>
  <si>
    <t>right_pulmonary_art196</t>
  </si>
  <si>
    <t>right_pulmonary_art197</t>
  </si>
  <si>
    <t>right_pulmonary_art198</t>
  </si>
  <si>
    <t>right_pulmonary_art199</t>
  </si>
  <si>
    <t>right_pulmonary_art200</t>
  </si>
  <si>
    <t>right_pulmonary_art201</t>
  </si>
  <si>
    <t>right_pulmonary_art202</t>
  </si>
  <si>
    <t>right_pulmonary_art203</t>
  </si>
  <si>
    <t>right_pulmonary_art204</t>
  </si>
  <si>
    <t>right_pulmonary_art205</t>
  </si>
  <si>
    <t>right_pulmonary_art206</t>
  </si>
  <si>
    <t>right_pulmonary_art207</t>
  </si>
  <si>
    <t>right_pulmonary_art208</t>
  </si>
  <si>
    <t>right_pulmonary_art209</t>
  </si>
  <si>
    <t>right_pulmonary_art210</t>
  </si>
  <si>
    <t>right_pulmonary_art211</t>
  </si>
  <si>
    <t>right_pulmonary_art212</t>
  </si>
  <si>
    <t>right_pulmonary_art213</t>
  </si>
  <si>
    <t>right_pulmonary_art214</t>
  </si>
  <si>
    <t>right_pulmonary_art215</t>
  </si>
  <si>
    <t>right_pulmonary_art216</t>
  </si>
  <si>
    <t>right_pulmonary_art217</t>
  </si>
  <si>
    <t>right_pulmonary_art218</t>
  </si>
  <si>
    <t>right_pulmonary_art219</t>
  </si>
  <si>
    <t>right_pulmonary_art220</t>
  </si>
  <si>
    <t>left_pulmonary_artery, right_pulmonary_artery</t>
  </si>
  <si>
    <t>right_pulmonary_artery</t>
  </si>
  <si>
    <t>right_pulmonary_art36, right_pulmonary_art46, right_pulmonary_art173, right_pulmonary_art174</t>
  </si>
  <si>
    <t>right_pulmonary_art166, right_pulmonary_art167</t>
  </si>
  <si>
    <t>right_pulmonary_art164, right_pulmonary_art165</t>
  </si>
  <si>
    <t>rkidney_arteries0</t>
  </si>
  <si>
    <t>rkidney_arteries1</t>
  </si>
  <si>
    <t>rkidney_arteries2</t>
  </si>
  <si>
    <t>rkidney_arteries3</t>
  </si>
  <si>
    <t>rkidney_arteries4</t>
  </si>
  <si>
    <t>rkidney_arteries5</t>
  </si>
  <si>
    <t>rkidney_arteries6</t>
  </si>
  <si>
    <t>rkidney_arteries7</t>
  </si>
  <si>
    <t>rkidney_arteries8</t>
  </si>
  <si>
    <t>rkidney_arteries9</t>
  </si>
  <si>
    <t>rkidney_arteries10</t>
  </si>
  <si>
    <t>rkidney_arteries11</t>
  </si>
  <si>
    <t>rkidney_arteries12</t>
  </si>
  <si>
    <t>rkidney_arteries13</t>
  </si>
  <si>
    <t>rkidney_arteries14</t>
  </si>
  <si>
    <t>rkidney_arteries15</t>
  </si>
  <si>
    <t>rkidney_arteries16</t>
  </si>
  <si>
    <t>rkidney_arteries17</t>
  </si>
  <si>
    <t>right_superior_renal_artery</t>
  </si>
  <si>
    <t>rkidney_arteries14, rkidney_arteries10</t>
  </si>
  <si>
    <t>right_inferior_renal_artery</t>
  </si>
  <si>
    <t>rkidney_arteries1,rkidney_arteries4, rkidney_arteries8, rkidney_arteries17, rkidney_arteries9, rkidney_arteries2, rkidney_arteries13</t>
  </si>
  <si>
    <t>rkidney_arteries7, rkidney_arteries11</t>
  </si>
  <si>
    <t>rkidney_arteries12, rkidney_arteries5</t>
  </si>
  <si>
    <t>rkidney_arteries15, rkidney_arteries16</t>
  </si>
  <si>
    <t>arteries_rarm0</t>
  </si>
  <si>
    <t>arteries_rarm1</t>
  </si>
  <si>
    <t>arteries_rarm2</t>
  </si>
  <si>
    <t>arteries_rarm3</t>
  </si>
  <si>
    <t>arteries_rarm4</t>
  </si>
  <si>
    <t>arteries_rarm5</t>
  </si>
  <si>
    <t>arteries_rarm6</t>
  </si>
  <si>
    <t>arteries_rarm7</t>
  </si>
  <si>
    <t>arteries_rarm8</t>
  </si>
  <si>
    <t>arteries_rarm10</t>
  </si>
  <si>
    <t>arteries_rarm11</t>
  </si>
  <si>
    <t>arteries_rarm12</t>
  </si>
  <si>
    <t>arteries_rarm13</t>
  </si>
  <si>
    <t>right_arm_artery</t>
  </si>
  <si>
    <t>arteries_rarm13, arteries_rarm6, arteries_rarm12, arteries_rarm5</t>
  </si>
  <si>
    <t>arteries_rarm1, arteries_rarm8</t>
  </si>
  <si>
    <t>arteries_rleg0</t>
  </si>
  <si>
    <t>arteries_rleg1</t>
  </si>
  <si>
    <t>arteries_rleg2</t>
  </si>
  <si>
    <t>arteries_rleg3</t>
  </si>
  <si>
    <t>arteries_rleg4</t>
  </si>
  <si>
    <t>arteries_rleg5</t>
  </si>
  <si>
    <t>arteries_rleg6</t>
  </si>
  <si>
    <t>arteries_rleg7</t>
  </si>
  <si>
    <t>arteries_rleg8</t>
  </si>
  <si>
    <t>arteries_rleg10</t>
  </si>
  <si>
    <t>arteries_rleg11</t>
  </si>
  <si>
    <t>arteries_rleg13</t>
  </si>
  <si>
    <t>arteries_rleg14</t>
  </si>
  <si>
    <t>arteries_rleg16</t>
  </si>
  <si>
    <t>arteries_rleg17</t>
  </si>
  <si>
    <t>arteries_rleg18</t>
  </si>
  <si>
    <t>arteries_rleg19</t>
  </si>
  <si>
    <t>arteries_rleg21</t>
  </si>
  <si>
    <t>arteries_rleg22</t>
  </si>
  <si>
    <t>arteries_rleg23</t>
  </si>
  <si>
    <t>arteries_rleg24</t>
  </si>
  <si>
    <t>arteries_rleg25</t>
  </si>
  <si>
    <t>arteries_rleg26</t>
  </si>
  <si>
    <t>arteries_rleg27</t>
  </si>
  <si>
    <t>arteries_rleg28</t>
  </si>
  <si>
    <t>arteries_rleg29</t>
  </si>
  <si>
    <t>arteries_rleg30</t>
  </si>
  <si>
    <t>right_leg_artery</t>
  </si>
  <si>
    <t>left_external_iliac_artery, right_external_iliac_artery</t>
  </si>
  <si>
    <t>arteries_rleg21, arteries_rleg22, arteries_rleg27, arteries_rleg30, arteries_rleg1, arteries_rleg17, arteries_rleg23</t>
  </si>
  <si>
    <t>arteries_rleg0, arteries_rleg2, arteries_rleg5, arteries_rleg24, arteries_rleg7</t>
  </si>
  <si>
    <t>arteries_rleg3, arteries_rleg4, arteries_rleg10, arteries_rleg26</t>
  </si>
  <si>
    <t>arteries_rleg13, arteries_rleg29</t>
  </si>
  <si>
    <t>arteries_rleg19, arteries_rleg11, arteries_rleg8</t>
  </si>
  <si>
    <t>veins0</t>
  </si>
  <si>
    <t>veins1</t>
  </si>
  <si>
    <t>veins5</t>
  </si>
  <si>
    <t>veins9</t>
  </si>
  <si>
    <t>veins11</t>
  </si>
  <si>
    <t>veins19</t>
  </si>
  <si>
    <t>right_pulmonary_art37, right_pulmonary_art144, right_pulmonary_art145, right_pulmonary_art150, right_pulmonary_art181, right_pulmonary_art55, right_pulmonary_art217, right_pulmonary_art220, right_pulmonary_art195, right_pulmonary_art0</t>
  </si>
  <si>
    <t>right_pulmonary_art28, right_pulmonary_art20, right_pulmonary_art22, right_pulmonary_art76, right_pulmonary_art75, right_pulmonary_art216, right_pulmonary_art78, right_pulmonary_art79, right_pulmonary_art115, right_pulmonary_art64, right_pulmonary_art70, right_pulmonary_art111, right_pulmonary_art132, right_pulmonary_art129, right_pulmonary_art171</t>
  </si>
  <si>
    <t>right_pulmonary_art148, right_pulmonary_art149</t>
  </si>
  <si>
    <t>right_pulmonary_art182, right_pulmonary_art183</t>
  </si>
  <si>
    <t>right_pulmonary_art61, right_pulmonary_art143</t>
  </si>
  <si>
    <t>right_pulmonary_art142, right_pulmonary_art69</t>
  </si>
  <si>
    <t>right_pulmonary_art218, right_pulmonary_art219</t>
  </si>
  <si>
    <t>right_pulmonary_art187, right_pulmonary_art34, right_pulmonary_art57, right_pulmonary_art147</t>
  </si>
  <si>
    <t>right_pulmonary_art188, right_pulmonary_art189</t>
  </si>
  <si>
    <t>right_pulmonary_art35, right_pulmonary_art56, right_pulmonary_art146</t>
  </si>
  <si>
    <t>right_pulmonary_art44, right_pulmonary_art45, right_pulmonary_art180, 179, right_pulmonary_art192, right_pulmonary_art194, right_pulmonary_art25</t>
  </si>
  <si>
    <t>right_pulmonary_art178, right_pulmonary_art177</t>
  </si>
  <si>
    <t>right_pulmonary_art60, right_pulmonary_art59</t>
  </si>
  <si>
    <t>right_pulmonary_art24, right_pulmonary_art26, right_pulmonary_art193</t>
  </si>
  <si>
    <t>right_pulmonary_art168, right_pulmonary_art169</t>
  </si>
  <si>
    <t>right_pulmonary_art152, right_pulmonary_art65</t>
  </si>
  <si>
    <t>right_pulmonary_art215, right_pulmonary_art19</t>
  </si>
  <si>
    <t>right_pulmonary_art176, right_pulmonary_art51, right_pulmonary_art172, right_pulmonary_art46</t>
  </si>
  <si>
    <t>right_pulmonary_art71, right_pulmonary_art175</t>
  </si>
  <si>
    <t>right_pulmonary_art21, right_pulmonary_art27, right_pulmonary_art41, right_pulmonary_art62, right_pulmonary_art116, right_pulmonary_art62, right_pulmonary_art119, right_pulmonary_art121</t>
  </si>
  <si>
    <t xml:space="preserve">right_pulmonary_art117, right_pulmonary_art118 </t>
  </si>
  <si>
    <t>right_pulmonary_art125, right_pulmonary_art104, right_pulmonary_art122, right_pulmonary_art123</t>
  </si>
  <si>
    <t>right_pulmonary_art124, right_pulmonary_art52</t>
  </si>
  <si>
    <t>right_pulmonary_art134, right_pulmonary_art40</t>
  </si>
  <si>
    <t>right_pulmonary_art92, right_pulmonary_art102, right_pulmonary_art15, right_pulmonary_art16</t>
  </si>
  <si>
    <t>right_pulmonary_art3, right_pulmonary_art101, right_pulmonary_art5, right_pulmonary_art6, right_pulmonary_art4, right_pulmonary_art160</t>
  </si>
  <si>
    <t>right_pulmonary_art89, right_pulmonary_art109</t>
  </si>
  <si>
    <t>right_pulmonary_art103, right_pulmonary_art157, right_pulmonary_art158, right_pulmonary_art159, right_pulmonary_art211</t>
  </si>
  <si>
    <t>right_pulmonary_art209, right_pulmonary_art96</t>
  </si>
  <si>
    <t>right_pulmonary_art42, right_pulmonary_art58, right_pulmonary_art87, right_pulmonary_art140, right_pulmonary_art170</t>
  </si>
  <si>
    <t>right_pulmonary_art156, right_pulmonary_art86</t>
  </si>
  <si>
    <t>right_pulmonary_art163, right_pulmonary_art105, right_pulmonary_art108</t>
  </si>
  <si>
    <t>right_pulmonary_art105, right_pulmonary_art108</t>
  </si>
  <si>
    <t>right_pulmonary_art155, right_pulmonary_art88</t>
  </si>
  <si>
    <t>right_pulmonary_art153, right_pulmonary_art154</t>
  </si>
  <si>
    <t>right_pulmonary_art49, right_pulmonary_art135, right_pulmonary_art136, right_pulmonary_art72, right_pulmonary_art137, right_pulmonary_art138, right_pulmonary_art139</t>
  </si>
  <si>
    <t>right_pulmonary_art73, right_pulmonary_art74</t>
  </si>
  <si>
    <t>right_pulmonary_art32, right_pulmonary_art33</t>
  </si>
  <si>
    <t>right_pulmonary_art131, right_pulmonary_art68</t>
  </si>
  <si>
    <t>right_pulmonary_art130, right_pulmonary_art48</t>
  </si>
  <si>
    <t>right_pulmonary_art63, right_pulmonary_art66</t>
  </si>
  <si>
    <t>right_pulmonary_art7, right_pulmonary_art14, right_pulmonary_art196, right_pulmonary_art18</t>
  </si>
  <si>
    <t>right_pulmonary_art98, right_pulmonary_art97, right_pulmonary_art198, right_pulmonary_art199, right_pulmonary_art200, right_pulmonary_art205</t>
  </si>
  <si>
    <t>right_pulmonary_art197, right_pulmonary_art95, right_pulmonary_art107</t>
  </si>
  <si>
    <t>right_pulmonary_art95, right_pulmonary_art107</t>
  </si>
  <si>
    <t>right_pulmonary_art99, right_pulmonary_art204</t>
  </si>
  <si>
    <t>right_pulmonary_art203, right_pulmonary_art94</t>
  </si>
  <si>
    <t>right_pulmonary_art202, right_pulmonary_art201</t>
  </si>
  <si>
    <t>right_pulmonary_art2, right_pulmonary_art161, right_pulmonary_art11, right_pulmonary_art8, right_pulmonary_art12, right_pulmonary_art214</t>
  </si>
  <si>
    <t>right_pulmonary_art212, right_pulmonary_art114</t>
  </si>
  <si>
    <t>right_pulmonary_art81, right_pulmonary_art100, right_pulmonary_art84, right_pulmonary_art113, right_pulmonary_art10</t>
  </si>
  <si>
    <t>right_pulmonary_art9, right_pulmonary_art83</t>
  </si>
  <si>
    <t>right_pulmonary_art17, right_pulmonary_art93, right_pulmonary_art213</t>
  </si>
  <si>
    <t>right_pulmonary_art208, right_pulmonary_art206</t>
  </si>
  <si>
    <t>right_pulmonary_art90, right_pulmonary_art184</t>
  </si>
  <si>
    <t>right_pulmonary_art128, right_pulmonary_art127, right_pulmonary_art126, right_pulmonary_art50, right_pulmonary_art30</t>
  </si>
  <si>
    <t>right_pulmonary_art29, right_pulmonary_art47</t>
  </si>
  <si>
    <t>right_pulmonary_art191, right_pulmonary_art190, right_pulmonary_art23, right_pulmonary_art55, right_pulmonary_art54</t>
  </si>
  <si>
    <t>right_leg_artery, right_internal_iliac_artery, arteries46</t>
  </si>
  <si>
    <t>arteries_lleg6, arteries_lleg26, arteries_lleg14, arteries_lleg27, arteries_lleg13, arteries_lleg17, arteries_lleg11, arteries43</t>
  </si>
  <si>
    <t>arteries44, arteries18, arteries26, left_vertebral_arteries, left_arm_artery</t>
  </si>
  <si>
    <t>arteries47,arteries21</t>
  </si>
  <si>
    <t>X</t>
  </si>
  <si>
    <t>left_vertebral_arteries</t>
  </si>
  <si>
    <t>arteries14, arteries15, arteries23, left_internal_iliac_artery, left_leg_artery</t>
  </si>
  <si>
    <t>arteries49, arteries50, left_gastric_artery, common_hepatic_artery</t>
  </si>
  <si>
    <t>arteries47, arteries19,arteries21, arteries25,arteries39</t>
  </si>
  <si>
    <t>arteries_rarm4, arteries_rarm7, arteries_rarm3, arteries_rarm2</t>
  </si>
  <si>
    <t>lkidney_arteries3, lkidney_arteries22</t>
  </si>
  <si>
    <t>arteries_lleg12, arteries_lleg28, arteries_lleg19</t>
  </si>
  <si>
    <t>arteries_lleg21, arteries_lleg16</t>
  </si>
  <si>
    <t xml:space="preserve"> right_subclavian_artery, left_external_iliac_artery,splenic_artery, superior_mesenteric_artery, left_common_cartoid_artery, left_subclavian_artery, inferior_mesenteric_artery, right_external_iliac_artery, arteries_lumb0, arteries_lumb1, arteries_lumb2, arteries_lumb3, arteries_lumb4, arteries_lumb5, arteries_lumb6, left_superior_renal_artery, left_inferior_renal_artery, right_superior_renal_artery, right_inferior_renal_artery</t>
  </si>
  <si>
    <t>arteries15, arteries23</t>
  </si>
  <si>
    <t>arteries10, arteries29, arteries36, right_carotid_artery, arteries38, right_arm_artery, art_carotid</t>
  </si>
  <si>
    <t>art_carotid</t>
  </si>
  <si>
    <t>dias_inf_vc</t>
  </si>
  <si>
    <t>Inferior Vena Cava</t>
  </si>
  <si>
    <t>Superior Vena Cava</t>
  </si>
  <si>
    <t>Flow Rate (ml/s)</t>
  </si>
  <si>
    <t>veins1, veins9</t>
  </si>
  <si>
    <t>Source</t>
  </si>
  <si>
    <t>veins_rarm5</t>
  </si>
  <si>
    <t>veins_larm11</t>
  </si>
  <si>
    <t>liver_veins_hep16</t>
  </si>
  <si>
    <t>liver_veins_hep31</t>
  </si>
  <si>
    <t>liver_veins_hep36</t>
  </si>
  <si>
    <t>lkidney_veins0</t>
  </si>
  <si>
    <t>rkidney_veins0</t>
  </si>
  <si>
    <t>veins_lleg9</t>
  </si>
  <si>
    <t>veins_lleg17</t>
  </si>
  <si>
    <t>veins_rleg16</t>
  </si>
  <si>
    <t>veins_rleg27</t>
  </si>
  <si>
    <t>veins19, veins_rleg27, rkidney_veins0, lkidney_veins0, liver_veins_hep16, liver_veins_hep31, liver_veins_hep36</t>
  </si>
  <si>
    <t>veins3</t>
  </si>
  <si>
    <t>veins7</t>
  </si>
  <si>
    <t>veins_rarm13</t>
  </si>
  <si>
    <t>veins_rarm14</t>
  </si>
  <si>
    <t>veins_larm14</t>
  </si>
  <si>
    <t>veins_larm13</t>
  </si>
  <si>
    <t>veins5, veins0, veins7</t>
  </si>
  <si>
    <t>veins11, veins3</t>
  </si>
  <si>
    <t>veins5, veins7</t>
  </si>
  <si>
    <t>Artery Index</t>
  </si>
  <si>
    <t>Vein Index</t>
  </si>
  <si>
    <t>L Front Head</t>
  </si>
  <si>
    <t>R Back Head</t>
  </si>
  <si>
    <t>Mesenteric Artery</t>
  </si>
  <si>
    <t>R Kidney</t>
  </si>
  <si>
    <t>L Gastric</t>
  </si>
  <si>
    <t>Splenic</t>
  </si>
  <si>
    <t xml:space="preserve">Hepatic </t>
  </si>
  <si>
    <t>L Kidney</t>
  </si>
  <si>
    <t xml:space="preserve">Inferior Mesenteric </t>
  </si>
  <si>
    <t>L Illiac (Upper Leg)</t>
  </si>
  <si>
    <t>R Illiac (Upper Leg)</t>
  </si>
  <si>
    <t xml:space="preserve">Body Region </t>
  </si>
  <si>
    <t>Supplies/Drains</t>
  </si>
  <si>
    <t>Brain</t>
  </si>
  <si>
    <t>Stomach</t>
  </si>
  <si>
    <t>Spleen</t>
  </si>
  <si>
    <t>Liver</t>
  </si>
  <si>
    <t>S3</t>
  </si>
  <si>
    <t>S6</t>
  </si>
  <si>
    <t>S12</t>
  </si>
  <si>
    <t>S14</t>
  </si>
  <si>
    <t>S15</t>
  </si>
  <si>
    <t>S16</t>
  </si>
  <si>
    <t>S17</t>
  </si>
  <si>
    <t>S18</t>
  </si>
  <si>
    <t>R Head</t>
  </si>
  <si>
    <t>L Head</t>
  </si>
  <si>
    <t>I2</t>
  </si>
  <si>
    <t>I4</t>
  </si>
  <si>
    <t>I6</t>
  </si>
  <si>
    <t>I8</t>
  </si>
  <si>
    <t>I10</t>
  </si>
  <si>
    <t>I17</t>
  </si>
  <si>
    <t>I19</t>
  </si>
  <si>
    <t>veins31</t>
  </si>
  <si>
    <t>I14</t>
  </si>
  <si>
    <t>I21</t>
  </si>
  <si>
    <t>S Intenstines and pancreas</t>
  </si>
  <si>
    <t>L Intenstine</t>
  </si>
  <si>
    <t>Organ</t>
  </si>
  <si>
    <t>S Intestines</t>
  </si>
  <si>
    <t>Pancreas</t>
  </si>
  <si>
    <t>L Intestines</t>
  </si>
  <si>
    <t>Liver (From organs)</t>
  </si>
  <si>
    <t xml:space="preserve">Liver </t>
  </si>
  <si>
    <t>% Total Blood Volume</t>
  </si>
  <si>
    <t>%  of Cardiac Output</t>
  </si>
  <si>
    <t>Total BV (mL)</t>
  </si>
  <si>
    <t>Cardiac Output (mL/min)</t>
  </si>
  <si>
    <t>1996_legget</t>
  </si>
  <si>
    <t>Dwell Time (A&gt;O&gt;V) (min)</t>
  </si>
  <si>
    <t>Dwell Time (s)</t>
  </si>
  <si>
    <t>ICRP 89</t>
  </si>
  <si>
    <t>2010_Eipel</t>
  </si>
  <si>
    <t>Name</t>
  </si>
  <si>
    <t>rarm10</t>
  </si>
  <si>
    <t>rarm2</t>
  </si>
  <si>
    <t>rarm13</t>
  </si>
  <si>
    <t>larm2</t>
  </si>
  <si>
    <t>larm10</t>
  </si>
  <si>
    <t>larm12</t>
  </si>
  <si>
    <t>lleg6</t>
  </si>
  <si>
    <t>rleg1</t>
  </si>
  <si>
    <t>lleg22</t>
  </si>
  <si>
    <t>lleg17</t>
  </si>
  <si>
    <t>rleg18</t>
  </si>
  <si>
    <t>rleg23</t>
  </si>
  <si>
    <t>Top part of SVC</t>
  </si>
  <si>
    <t xml:space="preserve">veins 0 </t>
  </si>
  <si>
    <t>rarm5</t>
  </si>
  <si>
    <t>rarm14</t>
  </si>
  <si>
    <t>larm11</t>
  </si>
  <si>
    <t>larm13</t>
  </si>
  <si>
    <t>larm14</t>
  </si>
  <si>
    <t>lleg9</t>
  </si>
  <si>
    <t>rleg27</t>
  </si>
  <si>
    <t>rleg16</t>
  </si>
  <si>
    <t>R Arm (ulnar)</t>
  </si>
  <si>
    <t>R Arm (radial)</t>
  </si>
  <si>
    <t>R Arm (interosseous)</t>
  </si>
  <si>
    <t>L Arm (radial)</t>
  </si>
  <si>
    <t>L Arm (ulnar)</t>
  </si>
  <si>
    <t>L Arm (interosseous)</t>
  </si>
  <si>
    <t>L Leg (internal iliac)</t>
  </si>
  <si>
    <t>R Illiac (internal iliac)</t>
  </si>
  <si>
    <t>R Leg (deep femoral)</t>
  </si>
  <si>
    <t>L Leg (deep femoral)</t>
  </si>
  <si>
    <t>L Leg (p. tibial)</t>
  </si>
  <si>
    <t>L Leg (a. tibial)</t>
  </si>
  <si>
    <t>R Leg (p.tibial)</t>
  </si>
  <si>
    <t xml:space="preserve">R Leg (a. tibial) </t>
  </si>
  <si>
    <t>veins_rleg1</t>
  </si>
  <si>
    <t>veins31, veins_rleg16, veins_rleg1</t>
  </si>
  <si>
    <t>veins_lleg17, veins_lleg1</t>
  </si>
  <si>
    <t>veins_lleg1</t>
  </si>
  <si>
    <t>I22</t>
  </si>
  <si>
    <t>I23</t>
  </si>
  <si>
    <t>I24</t>
  </si>
  <si>
    <t>I25</t>
  </si>
  <si>
    <t>lleg1</t>
  </si>
  <si>
    <t>L Leg (p.tibia)</t>
  </si>
  <si>
    <t>R Arm (superior arm surface)</t>
  </si>
  <si>
    <t>L Arm (superior surface)</t>
  </si>
  <si>
    <t>R Arm (closer to radial)</t>
  </si>
  <si>
    <t>L Arm (closer to radial)</t>
  </si>
  <si>
    <t>Artery Index (in)</t>
  </si>
  <si>
    <t>Vein Index (out)</t>
  </si>
  <si>
    <t>S3, S6</t>
  </si>
  <si>
    <t>I2, I4, I6</t>
  </si>
  <si>
    <t xml:space="preserve">Radial </t>
  </si>
  <si>
    <t>Ulnar</t>
  </si>
  <si>
    <t>Interosseous</t>
  </si>
  <si>
    <t>Internal Iliac</t>
  </si>
  <si>
    <t>Deep Femoral</t>
  </si>
  <si>
    <t>A. Tibial</t>
  </si>
  <si>
    <t>P. Tibial</t>
  </si>
  <si>
    <t>BV per Leg (%)</t>
  </si>
  <si>
    <t>BV  per Arm (%)</t>
  </si>
  <si>
    <t>Weighting Factor</t>
  </si>
  <si>
    <t>VF (%) 2014_Blanco</t>
  </si>
  <si>
    <t>RVF (%) Legs</t>
  </si>
  <si>
    <t>RVF (%) Arms</t>
  </si>
  <si>
    <t>2014_Blanco</t>
  </si>
  <si>
    <t>right_pulmonary_arts1</t>
  </si>
  <si>
    <t>left_pulmonary_veins1</t>
  </si>
  <si>
    <t>right_pulmonary_veins2</t>
  </si>
  <si>
    <t>right_pulmonary_veins3</t>
  </si>
  <si>
    <t>left_pulmonary_veins0</t>
  </si>
  <si>
    <t>NAME</t>
  </si>
  <si>
    <t>Heart</t>
  </si>
  <si>
    <t>Lungs</t>
  </si>
  <si>
    <t>L Heart</t>
  </si>
  <si>
    <t>R Heart</t>
  </si>
  <si>
    <t>dias_inf_vc_0</t>
  </si>
  <si>
    <t>dias_inf_vc_1</t>
  </si>
  <si>
    <t>liver_veins_hep36_0</t>
  </si>
  <si>
    <t>dias_inf_vc_2</t>
  </si>
  <si>
    <t>liver_veins_hep16_0</t>
  </si>
  <si>
    <t>dias_inf_vc_3</t>
  </si>
  <si>
    <t>liver_veins_hep31_0</t>
  </si>
  <si>
    <t>dias_inf_vc_4</t>
  </si>
  <si>
    <t>lkidney_veins0_0</t>
  </si>
  <si>
    <t>dias_inf_vc_5</t>
  </si>
  <si>
    <t>rkidney_veins0_0</t>
  </si>
  <si>
    <t>dias_inf_vc_6</t>
  </si>
  <si>
    <t>veins19_0</t>
  </si>
  <si>
    <t>veins_rleg27_0</t>
  </si>
  <si>
    <t>veins19_1</t>
  </si>
  <si>
    <t>veins_lleg9_0</t>
  </si>
  <si>
    <t>veins_rleg27_1</t>
  </si>
  <si>
    <t>veins31_0</t>
  </si>
  <si>
    <t>veins_lleg9_1</t>
  </si>
  <si>
    <t>veins_lleg1_0</t>
  </si>
  <si>
    <t>veins_rleg27_2</t>
  </si>
  <si>
    <t>veins_rleg1_0</t>
  </si>
  <si>
    <t>veins_lleg9_2</t>
  </si>
  <si>
    <t>veins_lleg17_0</t>
  </si>
  <si>
    <t>veins_rleg27_3</t>
  </si>
  <si>
    <t>veins_rleg16_0</t>
  </si>
  <si>
    <t>dias_aorta_0</t>
  </si>
  <si>
    <t>dias_aorta_1</t>
  </si>
  <si>
    <t>arteries11_0</t>
  </si>
  <si>
    <t>dias_aorta_2</t>
  </si>
  <si>
    <t>arteries2_0</t>
  </si>
  <si>
    <t>arteries11_1</t>
  </si>
  <si>
    <t>arteries37_0</t>
  </si>
  <si>
    <t>dias_aorta_3</t>
  </si>
  <si>
    <t>arteries5_0</t>
  </si>
  <si>
    <t>arteries_rarm10_1</t>
  </si>
  <si>
    <t>arteries_rarm2_0</t>
  </si>
  <si>
    <t>dias_aorta_4</t>
  </si>
  <si>
    <t>arteries0_0</t>
  </si>
  <si>
    <t>arteries5_1</t>
  </si>
  <si>
    <t>arteries41_0</t>
  </si>
  <si>
    <t>arteries_rarm2_1</t>
  </si>
  <si>
    <t>arteries_rarm13_0</t>
  </si>
  <si>
    <t>dias_aorta_5</t>
  </si>
  <si>
    <t>arteries1_0</t>
  </si>
  <si>
    <t>arteries0_1</t>
  </si>
  <si>
    <t>arteries42_0</t>
  </si>
  <si>
    <t>arteries_larm2_1</t>
  </si>
  <si>
    <t>arteries_larm10_0</t>
  </si>
  <si>
    <t>dias_aorta_6</t>
  </si>
  <si>
    <t>rkidney_arteries6_0</t>
  </si>
  <si>
    <t>dias_sup_vc_0</t>
  </si>
  <si>
    <t>dias_sup_vc_1</t>
  </si>
  <si>
    <t>veins1_0</t>
  </si>
  <si>
    <t>dias_sup_vc_2</t>
  </si>
  <si>
    <t>veins9_0</t>
  </si>
  <si>
    <t>veins1_1</t>
  </si>
  <si>
    <t>veins0_0</t>
  </si>
  <si>
    <t>veins11_0</t>
  </si>
  <si>
    <t>veins3_0</t>
  </si>
  <si>
    <t>veins5_0</t>
  </si>
  <si>
    <t>veins7_0</t>
  </si>
  <si>
    <t>veins_rarm5_0</t>
  </si>
  <si>
    <t>veins_rarm13_0</t>
  </si>
  <si>
    <t>veins_larm11_0</t>
  </si>
  <si>
    <t>veins_larm14_0</t>
  </si>
  <si>
    <t>veins_rarm5_1</t>
  </si>
  <si>
    <t>veins_rarm14_0</t>
  </si>
  <si>
    <t>veins_larm11_1</t>
  </si>
  <si>
    <t>veins_larm13_0</t>
  </si>
  <si>
    <t xml:space="preserve">L. Radial </t>
  </si>
  <si>
    <t>L. Ulnar</t>
  </si>
  <si>
    <t>L. Interosseous</t>
  </si>
  <si>
    <t>R. Radial</t>
  </si>
  <si>
    <t>R. Interosseous</t>
  </si>
  <si>
    <t>L. Lungs</t>
  </si>
  <si>
    <t>R. Lungs</t>
  </si>
  <si>
    <t>L. Internal Iliac</t>
  </si>
  <si>
    <t>L. Deep Femoral</t>
  </si>
  <si>
    <t>L. A. Tibial</t>
  </si>
  <si>
    <t>L. P. Tibial</t>
  </si>
  <si>
    <t>R. Internal Iliac</t>
  </si>
  <si>
    <t>R. Deep Femoral</t>
  </si>
  <si>
    <t>R. A. Tibial</t>
  </si>
  <si>
    <t>R. P. Tibial</t>
  </si>
  <si>
    <t>R. Ulnar</t>
  </si>
  <si>
    <t>arteries0_2</t>
  </si>
  <si>
    <t>arteries4_0</t>
  </si>
  <si>
    <t>arteries_larm10_1</t>
  </si>
  <si>
    <t>arteries_larm12_0</t>
  </si>
  <si>
    <t>dias_aorta_7</t>
  </si>
  <si>
    <t>lkidney_arteries0_0</t>
  </si>
  <si>
    <t>dias_aorta_8</t>
  </si>
  <si>
    <t>arteries24_0</t>
  </si>
  <si>
    <t>arteries9_0</t>
  </si>
  <si>
    <t>arteries27_0</t>
  </si>
  <si>
    <t>arteries9_1</t>
  </si>
  <si>
    <t>arteries_lleg22_0</t>
  </si>
  <si>
    <t>arteries27_1</t>
  </si>
  <si>
    <t>arteries_rleg18_0</t>
  </si>
  <si>
    <t>arteries_lleg22_1</t>
  </si>
  <si>
    <t>arteries_lleg6_0</t>
  </si>
  <si>
    <t>arteries_rleg18_1</t>
  </si>
  <si>
    <t>arteries_rleg1_0</t>
  </si>
  <si>
    <t>arteries_lleg22_2</t>
  </si>
  <si>
    <t>arteries_lleg17_0</t>
  </si>
  <si>
    <t>arteries_rleg18_2</t>
  </si>
  <si>
    <t>arteries_rleg23_0</t>
  </si>
  <si>
    <t>LocationIDNumber;OutFlowA;OutFlowB;OutFlowC;DwellTime(s);SplittingRatioKey</t>
  </si>
  <si>
    <t>28;29;30;0;0;B</t>
  </si>
  <si>
    <t>0;126;126;0;0.955;0</t>
  </si>
  <si>
    <t>3;11;11;0;37.90;0</t>
  </si>
  <si>
    <t>4;11;11;0;29.35;0</t>
  </si>
  <si>
    <t>5;11;11;0;68.23;0</t>
  </si>
  <si>
    <t>6;63;63;0;5.15;0</t>
  </si>
  <si>
    <t>7;11;11;0;42.14;0</t>
  </si>
  <si>
    <t>29;31;32;0;0;C</t>
  </si>
  <si>
    <t>8;11;11;0;46.22;0</t>
  </si>
  <si>
    <t>9;61;61;0;5.15;0</t>
  </si>
  <si>
    <t>12;96;96;0;17.89;0</t>
  </si>
  <si>
    <t>13;97;97;0;17.89;0</t>
  </si>
  <si>
    <t>14;93;93;0;17.89;0</t>
  </si>
  <si>
    <t>15;94;94;0;17.89;0</t>
  </si>
  <si>
    <t>16;95;95;0;17.89;0</t>
  </si>
  <si>
    <t>17;91;91;0;17.89;0</t>
  </si>
  <si>
    <t>18;67;67;0;39.92;0</t>
  </si>
  <si>
    <t>19;72;72;0;39.92;0</t>
  </si>
  <si>
    <t>20;76;76;0;39.92;0</t>
  </si>
  <si>
    <t>21;75;75;0;39.92;0</t>
  </si>
  <si>
    <t>22;70;70;0;39.92;0</t>
  </si>
  <si>
    <t>23;74;74;0;39.92;0</t>
  </si>
  <si>
    <t>24;78;78;0;39.92;0</t>
  </si>
  <si>
    <t>30;33;34;0;0;D</t>
  </si>
  <si>
    <t>25;77;77;0;39.92;0</t>
  </si>
  <si>
    <t>31;35;36;0;0;E</t>
  </si>
  <si>
    <t>32;2;2;0;0;0</t>
  </si>
  <si>
    <t>33;37;38;0;0;F</t>
  </si>
  <si>
    <t>34;2;2;0;0;0</t>
  </si>
  <si>
    <t>35;39;40;0;0;G</t>
  </si>
  <si>
    <t>36;41;42;0;0;H</t>
  </si>
  <si>
    <t>37;15;15;0;0;0</t>
  </si>
  <si>
    <t>38;43;44;0;0;I</t>
  </si>
  <si>
    <t>39;45;46;0;0;J</t>
  </si>
  <si>
    <t>40;47;48;0;0;K</t>
  </si>
  <si>
    <t>41;49;50;0;0;L</t>
  </si>
  <si>
    <t>42;2;2;0;0;0</t>
  </si>
  <si>
    <t>43;16;16;0;0;0</t>
  </si>
  <si>
    <t>44;17;17;0;0;0</t>
  </si>
  <si>
    <t>45;51;52;0;0;M</t>
  </si>
  <si>
    <t>46;3;4;0;0;N</t>
  </si>
  <si>
    <t>47;104;105;0;0;O</t>
  </si>
  <si>
    <t>49;12;12;0;0;0</t>
  </si>
  <si>
    <t>50;106;107;0;0;P</t>
  </si>
  <si>
    <t>51;108;109;0;0;Q</t>
  </si>
  <si>
    <t>52;6;6;0;0;0</t>
  </si>
  <si>
    <t>53;0;0;0;0;0</t>
  </si>
  <si>
    <t>54;53;53;0;0;0</t>
  </si>
  <si>
    <t>55;53;53;0;0;0</t>
  </si>
  <si>
    <t>56;54;54;0;0;0</t>
  </si>
  <si>
    <t>57;54;54;0;0;0</t>
  </si>
  <si>
    <t>58;56;56;0;0;0</t>
  </si>
  <si>
    <t>59;56;56;0;0;0</t>
  </si>
  <si>
    <t>60;58;58;0;0;0</t>
  </si>
  <si>
    <t>61;58;58;0;0;0</t>
  </si>
  <si>
    <t>62;60;60;0;0;0</t>
  </si>
  <si>
    <t>63;60;60;0;0;0</t>
  </si>
  <si>
    <t>64;62;62;0;0;0</t>
  </si>
  <si>
    <t>65;62;62;0;0;0</t>
  </si>
  <si>
    <t>66;64;64;0;0;0</t>
  </si>
  <si>
    <t>67;65;65;0;0;0</t>
  </si>
  <si>
    <t>68;65;65;0;0;0</t>
  </si>
  <si>
    <t>69;66;66;0;0;0</t>
  </si>
  <si>
    <t>70;66;66;0;0;0</t>
  </si>
  <si>
    <t>71;68;68;0;0;0</t>
  </si>
  <si>
    <t>72;68;68;0;0;0</t>
  </si>
  <si>
    <t>73;69;69;0;0;0</t>
  </si>
  <si>
    <t>74;69;69;0;0;0</t>
  </si>
  <si>
    <t>75;71;71;0;0;0</t>
  </si>
  <si>
    <t>76;71;71;0;0;0</t>
  </si>
  <si>
    <t>77;73;73;0;0;0</t>
  </si>
  <si>
    <t>78;73;73;0;0;0</t>
  </si>
  <si>
    <t>79;0;0;0;0;0</t>
  </si>
  <si>
    <t>80;79;79;0;0;0</t>
  </si>
  <si>
    <t>81;79;79;0;0;0</t>
  </si>
  <si>
    <t>82;80;80;0;0;0</t>
  </si>
  <si>
    <t>83;80;80;0;0;0</t>
  </si>
  <si>
    <t>84;81;81;0;0;0</t>
  </si>
  <si>
    <t>85;81;81;0;0;0</t>
  </si>
  <si>
    <t>86;83;83;0;0;0</t>
  </si>
  <si>
    <t>87;83;83;0;0;0</t>
  </si>
  <si>
    <t>88;84;84;0;0;0</t>
  </si>
  <si>
    <t>89;84;84;0;0;0</t>
  </si>
  <si>
    <t>90;86;86;0;0;0</t>
  </si>
  <si>
    <t>91;87;87;0;0;0</t>
  </si>
  <si>
    <t>92;88;88;0;0;0</t>
  </si>
  <si>
    <t>93;89;89;0;0;0</t>
  </si>
  <si>
    <t>94;90;90;0;0;0</t>
  </si>
  <si>
    <t>95;90;90;0;0;0</t>
  </si>
  <si>
    <t>96;92;92;0;0;0</t>
  </si>
  <si>
    <t>97;92;92;0;0;0</t>
  </si>
  <si>
    <t>98;26;26;0;0;0</t>
  </si>
  <si>
    <t>99;27;27;0;0;0</t>
  </si>
  <si>
    <t>100;1;1;0;0;0</t>
  </si>
  <si>
    <t>101;1;1;0;0;0</t>
  </si>
  <si>
    <t>102;1;1;0;0;0</t>
  </si>
  <si>
    <t>103;1;1;0;0;0</t>
  </si>
  <si>
    <t>104;7;7;0;0;0</t>
  </si>
  <si>
    <t>106;13;13;0;0;0</t>
  </si>
  <si>
    <t>107;14;14;0;0;0</t>
  </si>
  <si>
    <t>108;110;111;0;0;R</t>
  </si>
  <si>
    <t>109;9;9;0;0;0</t>
  </si>
  <si>
    <t>110;112;113;0;0;S</t>
  </si>
  <si>
    <t>111;8;8;0;0;0</t>
  </si>
  <si>
    <t>112;114;115;0;0;T</t>
  </si>
  <si>
    <t>113;116;117;0;0;U</t>
  </si>
  <si>
    <t>114;18;18;0;0;0</t>
  </si>
  <si>
    <t>115;118;119;0;0;V</t>
  </si>
  <si>
    <t>116;22;22;0;0;0</t>
  </si>
  <si>
    <t>117;120;121;0;0;W</t>
  </si>
  <si>
    <t>118;122;123;0;0;X</t>
  </si>
  <si>
    <t>119;19;19;0;0;0</t>
  </si>
  <si>
    <t>120;124;125;0;0;Y</t>
  </si>
  <si>
    <t>121;23;23;0;0;0</t>
  </si>
  <si>
    <t>122;21;21;0;0;0</t>
  </si>
  <si>
    <t>123;20;20;0;0;0</t>
  </si>
  <si>
    <t>124;25;25;0;0;0</t>
  </si>
  <si>
    <t>125;24;24;0;0;0</t>
  </si>
  <si>
    <t>2;82;85;0;4.89;Z</t>
  </si>
  <si>
    <t>10;55;57;59;18.82;AA</t>
  </si>
  <si>
    <t>11;55;57;59;19.31;AA</t>
  </si>
  <si>
    <t>126;98;99;0;0;AD</t>
  </si>
  <si>
    <t>26;100;103;0;6.12;AB</t>
  </si>
  <si>
    <t>27;101;102;0;6.12;AC</t>
  </si>
  <si>
    <t>1;28;28;0;0.955;0</t>
  </si>
  <si>
    <t>48;10;10;0;0;0</t>
  </si>
  <si>
    <t>105;5;5;0;0;0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</si>
</sst>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/>
      <right style="thick">
        <color indexed="64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0" borderId="1" xfId="0" applyBorder="1"/>
    <xf numFmtId="0" fontId="0" fillId="3" borderId="0" xfId="0" applyFill="1"/>
    <xf numFmtId="0" fontId="0" fillId="4" borderId="0" xfId="0" applyFill="1"/>
    <xf numFmtId="2" fontId="2" fillId="5" borderId="0" xfId="0" applyNumberFormat="1" applyFont="1" applyFill="1"/>
    <xf numFmtId="2" fontId="2" fillId="0" borderId="0" xfId="0" applyNumberFormat="1" applyFont="1"/>
  </cellXfs>
  <cellStyles count="1">
    <cellStyle name="Normal" xfId="0" builtinId="0"/>
  </cellStyles>
  <dxfs count="4"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48F57-DE8B-4C09-80D7-46260E48A147}">
  <dimension ref="A1:B128"/>
  <sheetViews>
    <sheetView tabSelected="1" topLeftCell="A91" workbookViewId="0">
      <selection activeCell="B107" sqref="B107"/>
    </sheetView>
  </sheetViews>
  <sheetFormatPr defaultRowHeight="15" x14ac:dyDescent="0.25"/>
  <cols>
    <col min="1" max="1" width="27" customWidth="1"/>
    <col min="2" max="2" width="27.7109375" customWidth="1"/>
  </cols>
  <sheetData>
    <row r="1" spans="1:2" x14ac:dyDescent="0.25">
      <c r="A1" t="s">
        <v>932</v>
      </c>
      <c r="B1" t="s">
        <v>1045</v>
      </c>
    </row>
    <row r="2" spans="1:2" x14ac:dyDescent="0.25">
      <c r="A2" t="s">
        <v>936</v>
      </c>
      <c r="B2" t="s">
        <v>1047</v>
      </c>
    </row>
    <row r="3" spans="1:2" x14ac:dyDescent="0.25">
      <c r="A3" t="s">
        <v>935</v>
      </c>
      <c r="B3" t="s">
        <v>1170</v>
      </c>
    </row>
    <row r="4" spans="1:2" x14ac:dyDescent="0.25">
      <c r="A4" t="s">
        <v>817</v>
      </c>
      <c r="B4" t="s">
        <v>1164</v>
      </c>
    </row>
    <row r="5" spans="1:2" x14ac:dyDescent="0.25">
      <c r="A5" t="s">
        <v>844</v>
      </c>
      <c r="B5" t="s">
        <v>1048</v>
      </c>
    </row>
    <row r="6" spans="1:2" x14ac:dyDescent="0.25">
      <c r="A6" t="s">
        <v>845</v>
      </c>
      <c r="B6" t="s">
        <v>1049</v>
      </c>
    </row>
    <row r="7" spans="1:2" x14ac:dyDescent="0.25">
      <c r="A7" t="s">
        <v>818</v>
      </c>
      <c r="B7" t="s">
        <v>1050</v>
      </c>
    </row>
    <row r="8" spans="1:2" x14ac:dyDescent="0.25">
      <c r="A8" t="s">
        <v>807</v>
      </c>
      <c r="B8" t="s">
        <v>1051</v>
      </c>
    </row>
    <row r="9" spans="1:2" x14ac:dyDescent="0.25">
      <c r="A9" t="s">
        <v>819</v>
      </c>
      <c r="B9" t="s">
        <v>1052</v>
      </c>
    </row>
    <row r="10" spans="1:2" x14ac:dyDescent="0.25">
      <c r="A10" t="s">
        <v>846</v>
      </c>
      <c r="B10" t="s">
        <v>1054</v>
      </c>
    </row>
    <row r="11" spans="1:2" x14ac:dyDescent="0.25">
      <c r="A11" t="s">
        <v>811</v>
      </c>
      <c r="B11" t="s">
        <v>1055</v>
      </c>
    </row>
    <row r="12" spans="1:2" x14ac:dyDescent="0.25">
      <c r="A12" t="s">
        <v>848</v>
      </c>
      <c r="B12" t="s">
        <v>1165</v>
      </c>
    </row>
    <row r="13" spans="1:2" x14ac:dyDescent="0.25">
      <c r="A13" t="s">
        <v>847</v>
      </c>
      <c r="B13" t="s">
        <v>1166</v>
      </c>
    </row>
    <row r="14" spans="1:2" x14ac:dyDescent="0.25">
      <c r="A14" t="s">
        <v>1007</v>
      </c>
      <c r="B14" t="s">
        <v>1056</v>
      </c>
    </row>
    <row r="15" spans="1:2" x14ac:dyDescent="0.25">
      <c r="A15" t="s">
        <v>1008</v>
      </c>
      <c r="B15" t="s">
        <v>1057</v>
      </c>
    </row>
    <row r="16" spans="1:2" x14ac:dyDescent="0.25">
      <c r="A16" t="s">
        <v>1009</v>
      </c>
      <c r="B16" t="s">
        <v>1058</v>
      </c>
    </row>
    <row r="17" spans="1:2" x14ac:dyDescent="0.25">
      <c r="A17" t="s">
        <v>1010</v>
      </c>
      <c r="B17" t="s">
        <v>1059</v>
      </c>
    </row>
    <row r="18" spans="1:2" x14ac:dyDescent="0.25">
      <c r="A18" t="s">
        <v>1022</v>
      </c>
      <c r="B18" t="s">
        <v>1060</v>
      </c>
    </row>
    <row r="19" spans="1:2" x14ac:dyDescent="0.25">
      <c r="A19" t="s">
        <v>1011</v>
      </c>
      <c r="B19" t="s">
        <v>1061</v>
      </c>
    </row>
    <row r="20" spans="1:2" x14ac:dyDescent="0.25">
      <c r="A20" t="s">
        <v>1014</v>
      </c>
      <c r="B20" t="s">
        <v>1062</v>
      </c>
    </row>
    <row r="21" spans="1:2" x14ac:dyDescent="0.25">
      <c r="A21" t="s">
        <v>1015</v>
      </c>
      <c r="B21" t="s">
        <v>1063</v>
      </c>
    </row>
    <row r="22" spans="1:2" x14ac:dyDescent="0.25">
      <c r="A22" t="s">
        <v>1016</v>
      </c>
      <c r="B22" t="s">
        <v>1064</v>
      </c>
    </row>
    <row r="23" spans="1:2" x14ac:dyDescent="0.25">
      <c r="A23" t="s">
        <v>1017</v>
      </c>
      <c r="B23" t="s">
        <v>1065</v>
      </c>
    </row>
    <row r="24" spans="1:2" x14ac:dyDescent="0.25">
      <c r="A24" t="s">
        <v>1018</v>
      </c>
      <c r="B24" t="s">
        <v>1066</v>
      </c>
    </row>
    <row r="25" spans="1:2" x14ac:dyDescent="0.25">
      <c r="A25" t="s">
        <v>1019</v>
      </c>
      <c r="B25" t="s">
        <v>1067</v>
      </c>
    </row>
    <row r="26" spans="1:2" x14ac:dyDescent="0.25">
      <c r="A26" t="s">
        <v>1020</v>
      </c>
      <c r="B26" t="s">
        <v>1068</v>
      </c>
    </row>
    <row r="27" spans="1:2" x14ac:dyDescent="0.25">
      <c r="A27" t="s">
        <v>1021</v>
      </c>
      <c r="B27" t="s">
        <v>1070</v>
      </c>
    </row>
    <row r="28" spans="1:2" x14ac:dyDescent="0.25">
      <c r="A28" t="s">
        <v>1012</v>
      </c>
      <c r="B28" t="s">
        <v>1168</v>
      </c>
    </row>
    <row r="29" spans="1:2" x14ac:dyDescent="0.25">
      <c r="A29" t="s">
        <v>1013</v>
      </c>
      <c r="B29" t="s">
        <v>1169</v>
      </c>
    </row>
    <row r="30" spans="1:2" x14ac:dyDescent="0.25">
      <c r="A30" t="s">
        <v>963</v>
      </c>
      <c r="B30" t="s">
        <v>1046</v>
      </c>
    </row>
    <row r="31" spans="1:2" x14ac:dyDescent="0.25">
      <c r="A31" t="s">
        <v>964</v>
      </c>
      <c r="B31" t="s">
        <v>1053</v>
      </c>
    </row>
    <row r="32" spans="1:2" x14ac:dyDescent="0.25">
      <c r="A32" t="s">
        <v>965</v>
      </c>
      <c r="B32" t="s">
        <v>1069</v>
      </c>
    </row>
    <row r="33" spans="1:2" x14ac:dyDescent="0.25">
      <c r="A33" t="s">
        <v>966</v>
      </c>
      <c r="B33" t="s">
        <v>1071</v>
      </c>
    </row>
    <row r="34" spans="1:2" x14ac:dyDescent="0.25">
      <c r="A34" t="s">
        <v>967</v>
      </c>
      <c r="B34" t="s">
        <v>1072</v>
      </c>
    </row>
    <row r="35" spans="1:2" x14ac:dyDescent="0.25">
      <c r="A35" t="s">
        <v>968</v>
      </c>
      <c r="B35" t="s">
        <v>1073</v>
      </c>
    </row>
    <row r="36" spans="1:2" x14ac:dyDescent="0.25">
      <c r="A36" t="s">
        <v>969</v>
      </c>
      <c r="B36" t="s">
        <v>1074</v>
      </c>
    </row>
    <row r="37" spans="1:2" x14ac:dyDescent="0.25">
      <c r="A37" t="s">
        <v>970</v>
      </c>
      <c r="B37" t="s">
        <v>1075</v>
      </c>
    </row>
    <row r="38" spans="1:2" x14ac:dyDescent="0.25">
      <c r="A38" t="s">
        <v>971</v>
      </c>
      <c r="B38" t="s">
        <v>1076</v>
      </c>
    </row>
    <row r="39" spans="1:2" x14ac:dyDescent="0.25">
      <c r="A39" t="s">
        <v>972</v>
      </c>
      <c r="B39" t="s">
        <v>1077</v>
      </c>
    </row>
    <row r="40" spans="1:2" x14ac:dyDescent="0.25">
      <c r="A40" t="s">
        <v>973</v>
      </c>
      <c r="B40" t="s">
        <v>1078</v>
      </c>
    </row>
    <row r="41" spans="1:2" x14ac:dyDescent="0.25">
      <c r="A41" t="s">
        <v>974</v>
      </c>
      <c r="B41" t="s">
        <v>1079</v>
      </c>
    </row>
    <row r="42" spans="1:2" x14ac:dyDescent="0.25">
      <c r="A42" t="s">
        <v>975</v>
      </c>
      <c r="B42" t="s">
        <v>1080</v>
      </c>
    </row>
    <row r="43" spans="1:2" x14ac:dyDescent="0.25">
      <c r="A43" t="s">
        <v>976</v>
      </c>
      <c r="B43" t="s">
        <v>1081</v>
      </c>
    </row>
    <row r="44" spans="1:2" x14ac:dyDescent="0.25">
      <c r="A44" t="s">
        <v>977</v>
      </c>
      <c r="B44" t="s">
        <v>1082</v>
      </c>
    </row>
    <row r="45" spans="1:2" x14ac:dyDescent="0.25">
      <c r="A45" t="s">
        <v>978</v>
      </c>
      <c r="B45" t="s">
        <v>1083</v>
      </c>
    </row>
    <row r="46" spans="1:2" x14ac:dyDescent="0.25">
      <c r="A46" t="s">
        <v>979</v>
      </c>
      <c r="B46" t="s">
        <v>1084</v>
      </c>
    </row>
    <row r="47" spans="1:2" x14ac:dyDescent="0.25">
      <c r="A47" t="s">
        <v>980</v>
      </c>
      <c r="B47" t="s">
        <v>1085</v>
      </c>
    </row>
    <row r="48" spans="1:2" x14ac:dyDescent="0.25">
      <c r="A48" t="s">
        <v>981</v>
      </c>
      <c r="B48" t="s">
        <v>1086</v>
      </c>
    </row>
    <row r="49" spans="1:2" x14ac:dyDescent="0.25">
      <c r="A49" t="s">
        <v>982</v>
      </c>
      <c r="B49" t="s">
        <v>1087</v>
      </c>
    </row>
    <row r="50" spans="1:2" x14ac:dyDescent="0.25">
      <c r="A50" t="s">
        <v>983</v>
      </c>
      <c r="B50" t="s">
        <v>1171</v>
      </c>
    </row>
    <row r="51" spans="1:2" x14ac:dyDescent="0.25">
      <c r="A51" t="s">
        <v>984</v>
      </c>
      <c r="B51" t="s">
        <v>1088</v>
      </c>
    </row>
    <row r="52" spans="1:2" x14ac:dyDescent="0.25">
      <c r="A52" t="s">
        <v>985</v>
      </c>
      <c r="B52" t="s">
        <v>1089</v>
      </c>
    </row>
    <row r="53" spans="1:2" x14ac:dyDescent="0.25">
      <c r="A53" t="s">
        <v>986</v>
      </c>
      <c r="B53" t="s">
        <v>1090</v>
      </c>
    </row>
    <row r="54" spans="1:2" x14ac:dyDescent="0.25">
      <c r="A54" t="s">
        <v>987</v>
      </c>
      <c r="B54" t="s">
        <v>1091</v>
      </c>
    </row>
    <row r="55" spans="1:2" x14ac:dyDescent="0.25">
      <c r="A55" t="s">
        <v>937</v>
      </c>
      <c r="B55" t="s">
        <v>1092</v>
      </c>
    </row>
    <row r="56" spans="1:2" x14ac:dyDescent="0.25">
      <c r="A56" t="s">
        <v>938</v>
      </c>
      <c r="B56" t="s">
        <v>1093</v>
      </c>
    </row>
    <row r="57" spans="1:2" x14ac:dyDescent="0.25">
      <c r="A57" t="s">
        <v>939</v>
      </c>
      <c r="B57" t="s">
        <v>1094</v>
      </c>
    </row>
    <row r="58" spans="1:2" x14ac:dyDescent="0.25">
      <c r="A58" t="s">
        <v>940</v>
      </c>
      <c r="B58" t="s">
        <v>1095</v>
      </c>
    </row>
    <row r="59" spans="1:2" x14ac:dyDescent="0.25">
      <c r="A59" t="s">
        <v>941</v>
      </c>
      <c r="B59" t="s">
        <v>1096</v>
      </c>
    </row>
    <row r="60" spans="1:2" x14ac:dyDescent="0.25">
      <c r="A60" t="s">
        <v>942</v>
      </c>
      <c r="B60" t="s">
        <v>1097</v>
      </c>
    </row>
    <row r="61" spans="1:2" x14ac:dyDescent="0.25">
      <c r="A61" t="s">
        <v>943</v>
      </c>
      <c r="B61" t="s">
        <v>1098</v>
      </c>
    </row>
    <row r="62" spans="1:2" x14ac:dyDescent="0.25">
      <c r="A62" t="s">
        <v>944</v>
      </c>
      <c r="B62" t="s">
        <v>1099</v>
      </c>
    </row>
    <row r="63" spans="1:2" x14ac:dyDescent="0.25">
      <c r="A63" t="s">
        <v>945</v>
      </c>
      <c r="B63" t="s">
        <v>1100</v>
      </c>
    </row>
    <row r="64" spans="1:2" x14ac:dyDescent="0.25">
      <c r="A64" t="s">
        <v>946</v>
      </c>
      <c r="B64" t="s">
        <v>1101</v>
      </c>
    </row>
    <row r="65" spans="1:2" x14ac:dyDescent="0.25">
      <c r="A65" t="s">
        <v>947</v>
      </c>
      <c r="B65" t="s">
        <v>1102</v>
      </c>
    </row>
    <row r="66" spans="1:2" x14ac:dyDescent="0.25">
      <c r="A66" t="s">
        <v>948</v>
      </c>
      <c r="B66" t="s">
        <v>1103</v>
      </c>
    </row>
    <row r="67" spans="1:2" x14ac:dyDescent="0.25">
      <c r="A67" t="s">
        <v>949</v>
      </c>
      <c r="B67" t="s">
        <v>1104</v>
      </c>
    </row>
    <row r="68" spans="1:2" x14ac:dyDescent="0.25">
      <c r="A68" t="s">
        <v>950</v>
      </c>
      <c r="B68" t="s">
        <v>1105</v>
      </c>
    </row>
    <row r="69" spans="1:2" x14ac:dyDescent="0.25">
      <c r="A69" t="s">
        <v>951</v>
      </c>
      <c r="B69" t="s">
        <v>1106</v>
      </c>
    </row>
    <row r="70" spans="1:2" x14ac:dyDescent="0.25">
      <c r="A70" t="s">
        <v>952</v>
      </c>
      <c r="B70" t="s">
        <v>1107</v>
      </c>
    </row>
    <row r="71" spans="1:2" x14ac:dyDescent="0.25">
      <c r="A71" t="s">
        <v>953</v>
      </c>
      <c r="B71" t="s">
        <v>1108</v>
      </c>
    </row>
    <row r="72" spans="1:2" x14ac:dyDescent="0.25">
      <c r="A72" t="s">
        <v>954</v>
      </c>
      <c r="B72" t="s">
        <v>1109</v>
      </c>
    </row>
    <row r="73" spans="1:2" x14ac:dyDescent="0.25">
      <c r="A73" t="s">
        <v>955</v>
      </c>
      <c r="B73" t="s">
        <v>1110</v>
      </c>
    </row>
    <row r="74" spans="1:2" x14ac:dyDescent="0.25">
      <c r="A74" t="s">
        <v>956</v>
      </c>
      <c r="B74" t="s">
        <v>1111</v>
      </c>
    </row>
    <row r="75" spans="1:2" x14ac:dyDescent="0.25">
      <c r="A75" t="s">
        <v>957</v>
      </c>
      <c r="B75" t="s">
        <v>1112</v>
      </c>
    </row>
    <row r="76" spans="1:2" x14ac:dyDescent="0.25">
      <c r="A76" t="s">
        <v>958</v>
      </c>
      <c r="B76" t="s">
        <v>1113</v>
      </c>
    </row>
    <row r="77" spans="1:2" x14ac:dyDescent="0.25">
      <c r="A77" t="s">
        <v>959</v>
      </c>
      <c r="B77" t="s">
        <v>1114</v>
      </c>
    </row>
    <row r="78" spans="1:2" x14ac:dyDescent="0.25">
      <c r="A78" t="s">
        <v>960</v>
      </c>
      <c r="B78" t="s">
        <v>1115</v>
      </c>
    </row>
    <row r="79" spans="1:2" x14ac:dyDescent="0.25">
      <c r="A79" t="s">
        <v>961</v>
      </c>
      <c r="B79" t="s">
        <v>1116</v>
      </c>
    </row>
    <row r="80" spans="1:2" x14ac:dyDescent="0.25">
      <c r="A80" t="s">
        <v>962</v>
      </c>
      <c r="B80" t="s">
        <v>1117</v>
      </c>
    </row>
    <row r="81" spans="1:2" x14ac:dyDescent="0.25">
      <c r="A81" t="s">
        <v>988</v>
      </c>
      <c r="B81" t="s">
        <v>1118</v>
      </c>
    </row>
    <row r="82" spans="1:2" x14ac:dyDescent="0.25">
      <c r="A82" t="s">
        <v>989</v>
      </c>
      <c r="B82" t="s">
        <v>1119</v>
      </c>
    </row>
    <row r="83" spans="1:2" x14ac:dyDescent="0.25">
      <c r="A83" t="s">
        <v>990</v>
      </c>
      <c r="B83" t="s">
        <v>1120</v>
      </c>
    </row>
    <row r="84" spans="1:2" x14ac:dyDescent="0.25">
      <c r="A84" t="s">
        <v>991</v>
      </c>
      <c r="B84" t="s">
        <v>1121</v>
      </c>
    </row>
    <row r="85" spans="1:2" x14ac:dyDescent="0.25">
      <c r="A85" t="s">
        <v>992</v>
      </c>
      <c r="B85" t="s">
        <v>1122</v>
      </c>
    </row>
    <row r="86" spans="1:2" x14ac:dyDescent="0.25">
      <c r="A86" t="s">
        <v>993</v>
      </c>
      <c r="B86" t="s">
        <v>1123</v>
      </c>
    </row>
    <row r="87" spans="1:2" x14ac:dyDescent="0.25">
      <c r="A87" t="s">
        <v>994</v>
      </c>
      <c r="B87" t="s">
        <v>1124</v>
      </c>
    </row>
    <row r="88" spans="1:2" x14ac:dyDescent="0.25">
      <c r="A88" t="s">
        <v>995</v>
      </c>
      <c r="B88" t="s">
        <v>1125</v>
      </c>
    </row>
    <row r="89" spans="1:2" x14ac:dyDescent="0.25">
      <c r="A89" t="s">
        <v>996</v>
      </c>
      <c r="B89" t="s">
        <v>1126</v>
      </c>
    </row>
    <row r="90" spans="1:2" x14ac:dyDescent="0.25">
      <c r="A90" t="s">
        <v>997</v>
      </c>
      <c r="B90" t="s">
        <v>1127</v>
      </c>
    </row>
    <row r="91" spans="1:2" x14ac:dyDescent="0.25">
      <c r="A91" t="s">
        <v>998</v>
      </c>
      <c r="B91" t="s">
        <v>1128</v>
      </c>
    </row>
    <row r="92" spans="1:2" x14ac:dyDescent="0.25">
      <c r="A92" t="s">
        <v>999</v>
      </c>
      <c r="B92" t="s">
        <v>1129</v>
      </c>
    </row>
    <row r="93" spans="1:2" x14ac:dyDescent="0.25">
      <c r="A93" t="s">
        <v>1000</v>
      </c>
      <c r="B93" t="s">
        <v>1130</v>
      </c>
    </row>
    <row r="94" spans="1:2" x14ac:dyDescent="0.25">
      <c r="A94" t="s">
        <v>1001</v>
      </c>
      <c r="B94" t="s">
        <v>1131</v>
      </c>
    </row>
    <row r="95" spans="1:2" x14ac:dyDescent="0.25">
      <c r="A95" t="s">
        <v>1002</v>
      </c>
      <c r="B95" t="s">
        <v>1132</v>
      </c>
    </row>
    <row r="96" spans="1:2" x14ac:dyDescent="0.25">
      <c r="A96" t="s">
        <v>1003</v>
      </c>
      <c r="B96" t="s">
        <v>1133</v>
      </c>
    </row>
    <row r="97" spans="1:2" x14ac:dyDescent="0.25">
      <c r="A97" t="s">
        <v>1004</v>
      </c>
      <c r="B97" t="s">
        <v>1134</v>
      </c>
    </row>
    <row r="98" spans="1:2" x14ac:dyDescent="0.25">
      <c r="A98" t="s">
        <v>1005</v>
      </c>
      <c r="B98" t="s">
        <v>1135</v>
      </c>
    </row>
    <row r="99" spans="1:2" x14ac:dyDescent="0.25">
      <c r="A99" t="s">
        <v>1006</v>
      </c>
      <c r="B99" t="s">
        <v>1136</v>
      </c>
    </row>
    <row r="100" spans="1:2" x14ac:dyDescent="0.25">
      <c r="A100" t="s">
        <v>140</v>
      </c>
      <c r="B100" t="s">
        <v>1137</v>
      </c>
    </row>
    <row r="101" spans="1:2" x14ac:dyDescent="0.25">
      <c r="A101" t="s">
        <v>927</v>
      </c>
      <c r="B101" t="s">
        <v>1138</v>
      </c>
    </row>
    <row r="102" spans="1:2" x14ac:dyDescent="0.25">
      <c r="A102" t="s">
        <v>928</v>
      </c>
      <c r="B102" t="s">
        <v>1139</v>
      </c>
    </row>
    <row r="103" spans="1:2" x14ac:dyDescent="0.25">
      <c r="A103" t="s">
        <v>929</v>
      </c>
      <c r="B103" t="s">
        <v>1140</v>
      </c>
    </row>
    <row r="104" spans="1:2" x14ac:dyDescent="0.25">
      <c r="A104" t="s">
        <v>930</v>
      </c>
      <c r="B104" t="s">
        <v>1141</v>
      </c>
    </row>
    <row r="105" spans="1:2" x14ac:dyDescent="0.25">
      <c r="A105" t="s">
        <v>931</v>
      </c>
      <c r="B105" t="s">
        <v>1142</v>
      </c>
    </row>
    <row r="106" spans="1:2" x14ac:dyDescent="0.25">
      <c r="A106" t="s">
        <v>1023</v>
      </c>
      <c r="B106" t="s">
        <v>1143</v>
      </c>
    </row>
    <row r="107" spans="1:2" x14ac:dyDescent="0.25">
      <c r="A107" t="s">
        <v>1024</v>
      </c>
      <c r="B107" t="s">
        <v>1172</v>
      </c>
    </row>
    <row r="108" spans="1:2" x14ac:dyDescent="0.25">
      <c r="A108" t="s">
        <v>1025</v>
      </c>
      <c r="B108" t="s">
        <v>1144</v>
      </c>
    </row>
    <row r="109" spans="1:2" x14ac:dyDescent="0.25">
      <c r="A109" t="s">
        <v>1026</v>
      </c>
      <c r="B109" t="s">
        <v>1145</v>
      </c>
    </row>
    <row r="110" spans="1:2" x14ac:dyDescent="0.25">
      <c r="A110" t="s">
        <v>1027</v>
      </c>
      <c r="B110" t="s">
        <v>1146</v>
      </c>
    </row>
    <row r="111" spans="1:2" x14ac:dyDescent="0.25">
      <c r="A111" t="s">
        <v>1028</v>
      </c>
      <c r="B111" t="s">
        <v>1147</v>
      </c>
    </row>
    <row r="112" spans="1:2" x14ac:dyDescent="0.25">
      <c r="A112" t="s">
        <v>1029</v>
      </c>
      <c r="B112" t="s">
        <v>1148</v>
      </c>
    </row>
    <row r="113" spans="1:2" x14ac:dyDescent="0.25">
      <c r="A113" t="s">
        <v>1030</v>
      </c>
      <c r="B113" t="s">
        <v>1149</v>
      </c>
    </row>
    <row r="114" spans="1:2" x14ac:dyDescent="0.25">
      <c r="A114" t="s">
        <v>1031</v>
      </c>
      <c r="B114" t="s">
        <v>1150</v>
      </c>
    </row>
    <row r="115" spans="1:2" x14ac:dyDescent="0.25">
      <c r="A115" t="s">
        <v>1032</v>
      </c>
      <c r="B115" t="s">
        <v>1151</v>
      </c>
    </row>
    <row r="116" spans="1:2" x14ac:dyDescent="0.25">
      <c r="A116" t="s">
        <v>1033</v>
      </c>
      <c r="B116" t="s">
        <v>1152</v>
      </c>
    </row>
    <row r="117" spans="1:2" x14ac:dyDescent="0.25">
      <c r="A117" t="s">
        <v>1034</v>
      </c>
      <c r="B117" t="s">
        <v>1153</v>
      </c>
    </row>
    <row r="118" spans="1:2" x14ac:dyDescent="0.25">
      <c r="A118" t="s">
        <v>1035</v>
      </c>
      <c r="B118" t="s">
        <v>1154</v>
      </c>
    </row>
    <row r="119" spans="1:2" x14ac:dyDescent="0.25">
      <c r="A119" t="s">
        <v>1036</v>
      </c>
      <c r="B119" t="s">
        <v>1155</v>
      </c>
    </row>
    <row r="120" spans="1:2" x14ac:dyDescent="0.25">
      <c r="A120" t="s">
        <v>1037</v>
      </c>
      <c r="B120" t="s">
        <v>1156</v>
      </c>
    </row>
    <row r="121" spans="1:2" x14ac:dyDescent="0.25">
      <c r="A121" t="s">
        <v>1038</v>
      </c>
      <c r="B121" t="s">
        <v>1157</v>
      </c>
    </row>
    <row r="122" spans="1:2" x14ac:dyDescent="0.25">
      <c r="A122" t="s">
        <v>1039</v>
      </c>
      <c r="B122" t="s">
        <v>1158</v>
      </c>
    </row>
    <row r="123" spans="1:2" x14ac:dyDescent="0.25">
      <c r="A123" t="s">
        <v>1040</v>
      </c>
      <c r="B123" t="s">
        <v>1159</v>
      </c>
    </row>
    <row r="124" spans="1:2" x14ac:dyDescent="0.25">
      <c r="A124" t="s">
        <v>1041</v>
      </c>
      <c r="B124" t="s">
        <v>1160</v>
      </c>
    </row>
    <row r="125" spans="1:2" x14ac:dyDescent="0.25">
      <c r="A125" t="s">
        <v>1042</v>
      </c>
      <c r="B125" t="s">
        <v>1161</v>
      </c>
    </row>
    <row r="126" spans="1:2" x14ac:dyDescent="0.25">
      <c r="A126" t="s">
        <v>1043</v>
      </c>
      <c r="B126" t="s">
        <v>1162</v>
      </c>
    </row>
    <row r="127" spans="1:2" x14ac:dyDescent="0.25">
      <c r="A127" t="s">
        <v>1044</v>
      </c>
      <c r="B127" t="s">
        <v>1163</v>
      </c>
    </row>
    <row r="128" spans="1:2" x14ac:dyDescent="0.25">
      <c r="A128" t="s">
        <v>8</v>
      </c>
      <c r="B128" t="s">
        <v>1167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9"/>
  <sheetViews>
    <sheetView workbookViewId="0">
      <pane xSplit="1" topLeftCell="B1" activePane="topRight" state="frozen"/>
      <selection pane="topRight" activeCell="B4" sqref="B4"/>
    </sheetView>
  </sheetViews>
  <sheetFormatPr defaultRowHeight="15" x14ac:dyDescent="0.25"/>
  <cols>
    <col min="1" max="1" width="22.28515625" customWidth="1"/>
    <col min="2" max="2" width="30.7109375" customWidth="1"/>
    <col min="3" max="3" width="56.42578125" customWidth="1"/>
    <col min="4" max="4" width="67.5703125" customWidth="1"/>
    <col min="5" max="5" width="26.42578125" customWidth="1"/>
    <col min="6" max="6" width="7.85546875" customWidth="1"/>
    <col min="7" max="7" width="25.42578125" customWidth="1"/>
    <col min="8" max="8" width="13" customWidth="1"/>
  </cols>
  <sheetData>
    <row r="1" spans="1:7" x14ac:dyDescent="0.25">
      <c r="A1" t="s">
        <v>0</v>
      </c>
      <c r="B1" t="s">
        <v>1</v>
      </c>
      <c r="C1" t="s">
        <v>4</v>
      </c>
      <c r="D1" t="s">
        <v>5</v>
      </c>
      <c r="E1" t="s">
        <v>74</v>
      </c>
      <c r="G1" t="s">
        <v>12</v>
      </c>
    </row>
    <row r="2" spans="1:7" x14ac:dyDescent="0.25">
      <c r="A2" t="s">
        <v>2</v>
      </c>
      <c r="B2" t="s">
        <v>3</v>
      </c>
      <c r="C2" t="s">
        <v>6</v>
      </c>
      <c r="D2" t="s">
        <v>771</v>
      </c>
      <c r="E2" t="s">
        <v>688</v>
      </c>
      <c r="G2" t="s">
        <v>11</v>
      </c>
    </row>
    <row r="3" spans="1:7" x14ac:dyDescent="0.25">
      <c r="A3" t="s">
        <v>13</v>
      </c>
      <c r="B3" t="s">
        <v>65</v>
      </c>
      <c r="C3" t="s">
        <v>3</v>
      </c>
      <c r="D3" t="s">
        <v>765</v>
      </c>
      <c r="G3" t="s">
        <v>11</v>
      </c>
    </row>
    <row r="4" spans="1:7" x14ac:dyDescent="0.25">
      <c r="A4" t="s">
        <v>14</v>
      </c>
      <c r="B4" t="s">
        <v>66</v>
      </c>
      <c r="C4" t="s">
        <v>3</v>
      </c>
      <c r="G4" t="s">
        <v>11</v>
      </c>
    </row>
    <row r="5" spans="1:7" x14ac:dyDescent="0.25">
      <c r="A5" t="s">
        <v>15</v>
      </c>
      <c r="B5" t="s">
        <v>63</v>
      </c>
      <c r="C5" t="s">
        <v>3</v>
      </c>
      <c r="G5" t="s">
        <v>11</v>
      </c>
    </row>
    <row r="6" spans="1:7" x14ac:dyDescent="0.25">
      <c r="A6" t="s">
        <v>16</v>
      </c>
      <c r="B6" t="s">
        <v>16</v>
      </c>
      <c r="C6" t="s">
        <v>54</v>
      </c>
      <c r="G6" t="s">
        <v>11</v>
      </c>
    </row>
    <row r="7" spans="1:7" x14ac:dyDescent="0.25">
      <c r="A7" t="s">
        <v>17</v>
      </c>
      <c r="B7" t="s">
        <v>70</v>
      </c>
      <c r="C7" t="s">
        <v>65</v>
      </c>
      <c r="D7" t="s">
        <v>43</v>
      </c>
      <c r="G7" t="s">
        <v>11</v>
      </c>
    </row>
    <row r="8" spans="1:7" x14ac:dyDescent="0.25">
      <c r="A8" t="s">
        <v>18</v>
      </c>
      <c r="B8" t="s">
        <v>64</v>
      </c>
      <c r="C8" t="s">
        <v>3</v>
      </c>
      <c r="D8" t="s">
        <v>760</v>
      </c>
      <c r="E8" t="s">
        <v>96</v>
      </c>
      <c r="G8" t="s">
        <v>11</v>
      </c>
    </row>
    <row r="9" spans="1:7" x14ac:dyDescent="0.25">
      <c r="A9" t="s">
        <v>19</v>
      </c>
      <c r="B9" t="s">
        <v>19</v>
      </c>
      <c r="C9" t="s">
        <v>39</v>
      </c>
      <c r="G9" t="s">
        <v>11</v>
      </c>
    </row>
    <row r="10" spans="1:7" x14ac:dyDescent="0.25">
      <c r="A10" t="s">
        <v>20</v>
      </c>
      <c r="B10" t="s">
        <v>71</v>
      </c>
      <c r="C10" t="s">
        <v>68</v>
      </c>
      <c r="D10" t="s">
        <v>72</v>
      </c>
      <c r="G10" t="s">
        <v>11</v>
      </c>
    </row>
    <row r="11" spans="1:7" x14ac:dyDescent="0.25">
      <c r="A11" t="s">
        <v>21</v>
      </c>
      <c r="B11" t="s">
        <v>21</v>
      </c>
      <c r="C11" t="s">
        <v>48</v>
      </c>
      <c r="G11" t="s">
        <v>11</v>
      </c>
    </row>
    <row r="12" spans="1:7" x14ac:dyDescent="0.25">
      <c r="A12" t="s">
        <v>22</v>
      </c>
      <c r="B12" t="s">
        <v>67</v>
      </c>
      <c r="C12" t="s">
        <v>3</v>
      </c>
      <c r="D12" t="s">
        <v>764</v>
      </c>
      <c r="E12" t="s">
        <v>772</v>
      </c>
      <c r="G12" t="s">
        <v>11</v>
      </c>
    </row>
    <row r="13" spans="1:7" x14ac:dyDescent="0.25">
      <c r="A13" t="s">
        <v>23</v>
      </c>
      <c r="B13" t="s">
        <v>23</v>
      </c>
      <c r="C13" t="s">
        <v>78</v>
      </c>
      <c r="G13" t="s">
        <v>11</v>
      </c>
    </row>
    <row r="14" spans="1:7" x14ac:dyDescent="0.25">
      <c r="A14" t="s">
        <v>24</v>
      </c>
      <c r="B14" t="s">
        <v>78</v>
      </c>
      <c r="C14" t="s">
        <v>3</v>
      </c>
      <c r="D14" t="s">
        <v>773</v>
      </c>
      <c r="E14" t="s">
        <v>657</v>
      </c>
      <c r="G14" t="s">
        <v>11</v>
      </c>
    </row>
    <row r="15" spans="1:7" x14ac:dyDescent="0.25">
      <c r="A15" t="s">
        <v>774</v>
      </c>
      <c r="B15" t="s">
        <v>774</v>
      </c>
      <c r="C15" t="s">
        <v>78</v>
      </c>
    </row>
    <row r="16" spans="1:7" x14ac:dyDescent="0.25">
      <c r="A16" t="s">
        <v>25</v>
      </c>
      <c r="B16" t="s">
        <v>25</v>
      </c>
      <c r="C16" t="s">
        <v>48</v>
      </c>
      <c r="G16" t="s">
        <v>11</v>
      </c>
    </row>
    <row r="17" spans="1:7" x14ac:dyDescent="0.25">
      <c r="A17" t="s">
        <v>26</v>
      </c>
      <c r="B17" t="s">
        <v>26</v>
      </c>
      <c r="C17" t="s">
        <v>82</v>
      </c>
      <c r="G17" t="s">
        <v>11</v>
      </c>
    </row>
    <row r="18" spans="1:7" x14ac:dyDescent="0.25">
      <c r="A18" t="s">
        <v>27</v>
      </c>
      <c r="B18" t="s">
        <v>27</v>
      </c>
      <c r="C18" t="s">
        <v>67</v>
      </c>
      <c r="G18" t="s">
        <v>11</v>
      </c>
    </row>
    <row r="19" spans="1:7" x14ac:dyDescent="0.25">
      <c r="A19" t="s">
        <v>28</v>
      </c>
      <c r="B19" t="s">
        <v>28</v>
      </c>
      <c r="C19" t="s">
        <v>67</v>
      </c>
      <c r="G19" t="s">
        <v>11</v>
      </c>
    </row>
    <row r="20" spans="1:7" x14ac:dyDescent="0.25">
      <c r="A20" t="s">
        <v>29</v>
      </c>
      <c r="B20" t="s">
        <v>29</v>
      </c>
      <c r="C20" t="s">
        <v>44</v>
      </c>
      <c r="G20" t="s">
        <v>11</v>
      </c>
    </row>
    <row r="21" spans="1:7" x14ac:dyDescent="0.25">
      <c r="A21" t="s">
        <v>30</v>
      </c>
      <c r="B21" t="s">
        <v>30</v>
      </c>
      <c r="C21" t="s">
        <v>31</v>
      </c>
      <c r="D21" t="s">
        <v>35</v>
      </c>
      <c r="G21" t="s">
        <v>11</v>
      </c>
    </row>
    <row r="22" spans="1:7" x14ac:dyDescent="0.25">
      <c r="A22" t="s">
        <v>31</v>
      </c>
      <c r="B22" t="s">
        <v>31</v>
      </c>
      <c r="C22" t="s">
        <v>64</v>
      </c>
      <c r="D22" t="s">
        <v>30</v>
      </c>
      <c r="G22" t="s">
        <v>11</v>
      </c>
    </row>
    <row r="23" spans="1:7" x14ac:dyDescent="0.25">
      <c r="A23" t="s">
        <v>32</v>
      </c>
      <c r="B23" t="s">
        <v>32</v>
      </c>
      <c r="C23" t="s">
        <v>81</v>
      </c>
      <c r="G23" t="s">
        <v>11</v>
      </c>
    </row>
    <row r="24" spans="1:7" x14ac:dyDescent="0.25">
      <c r="A24" t="s">
        <v>33</v>
      </c>
      <c r="B24" t="s">
        <v>33</v>
      </c>
      <c r="C24" t="s">
        <v>39</v>
      </c>
      <c r="G24" t="s">
        <v>11</v>
      </c>
    </row>
    <row r="25" spans="1:7" x14ac:dyDescent="0.25">
      <c r="A25" t="s">
        <v>34</v>
      </c>
      <c r="B25" t="s">
        <v>34</v>
      </c>
      <c r="C25" t="s">
        <v>81</v>
      </c>
      <c r="G25" t="s">
        <v>11</v>
      </c>
    </row>
    <row r="26" spans="1:7" x14ac:dyDescent="0.25">
      <c r="A26" t="s">
        <v>35</v>
      </c>
      <c r="B26" t="s">
        <v>35</v>
      </c>
      <c r="C26" t="s">
        <v>30</v>
      </c>
      <c r="G26" t="s">
        <v>11</v>
      </c>
    </row>
    <row r="27" spans="1:7" x14ac:dyDescent="0.25">
      <c r="A27" t="s">
        <v>36</v>
      </c>
      <c r="B27" t="s">
        <v>36</v>
      </c>
      <c r="C27" t="s">
        <v>67</v>
      </c>
      <c r="G27" t="s">
        <v>11</v>
      </c>
    </row>
    <row r="28" spans="1:7" x14ac:dyDescent="0.25">
      <c r="A28" t="s">
        <v>37</v>
      </c>
      <c r="B28" t="s">
        <v>68</v>
      </c>
      <c r="C28" t="s">
        <v>3</v>
      </c>
      <c r="D28" t="s">
        <v>73</v>
      </c>
      <c r="G28" t="s">
        <v>11</v>
      </c>
    </row>
    <row r="29" spans="1:7" x14ac:dyDescent="0.25">
      <c r="A29" t="s">
        <v>38</v>
      </c>
      <c r="B29" t="s">
        <v>38</v>
      </c>
      <c r="C29" t="s">
        <v>81</v>
      </c>
      <c r="G29" t="s">
        <v>11</v>
      </c>
    </row>
    <row r="30" spans="1:7" x14ac:dyDescent="0.25">
      <c r="A30" t="s">
        <v>39</v>
      </c>
      <c r="B30" t="s">
        <v>39</v>
      </c>
      <c r="C30" t="s">
        <v>64</v>
      </c>
      <c r="D30" t="s">
        <v>77</v>
      </c>
      <c r="G30" t="s">
        <v>11</v>
      </c>
    </row>
    <row r="31" spans="1:7" x14ac:dyDescent="0.25">
      <c r="A31" t="s">
        <v>40</v>
      </c>
      <c r="B31" t="s">
        <v>69</v>
      </c>
      <c r="C31" t="s">
        <v>3</v>
      </c>
      <c r="D31" t="s">
        <v>758</v>
      </c>
      <c r="G31" t="s">
        <v>11</v>
      </c>
    </row>
    <row r="32" spans="1:7" x14ac:dyDescent="0.25">
      <c r="A32" t="s">
        <v>41</v>
      </c>
      <c r="B32" t="s">
        <v>41</v>
      </c>
      <c r="C32" t="s">
        <v>75</v>
      </c>
      <c r="D32" t="s">
        <v>46</v>
      </c>
      <c r="G32" t="s">
        <v>11</v>
      </c>
    </row>
    <row r="33" spans="1:7" x14ac:dyDescent="0.25">
      <c r="A33" t="s">
        <v>42</v>
      </c>
      <c r="B33" t="s">
        <v>42</v>
      </c>
      <c r="C33" t="s">
        <v>78</v>
      </c>
      <c r="G33" t="s">
        <v>11</v>
      </c>
    </row>
    <row r="34" spans="1:7" x14ac:dyDescent="0.25">
      <c r="A34" t="s">
        <v>43</v>
      </c>
      <c r="B34" t="s">
        <v>43</v>
      </c>
      <c r="C34" t="s">
        <v>65</v>
      </c>
      <c r="D34" t="s">
        <v>44</v>
      </c>
      <c r="G34" t="s">
        <v>11</v>
      </c>
    </row>
    <row r="35" spans="1:7" x14ac:dyDescent="0.25">
      <c r="A35" t="s">
        <v>44</v>
      </c>
      <c r="B35" t="s">
        <v>44</v>
      </c>
      <c r="C35" t="s">
        <v>43</v>
      </c>
      <c r="D35" t="s">
        <v>29</v>
      </c>
      <c r="G35" t="s">
        <v>11</v>
      </c>
    </row>
    <row r="36" spans="1:7" x14ac:dyDescent="0.25">
      <c r="A36" t="s">
        <v>45</v>
      </c>
      <c r="B36" t="s">
        <v>72</v>
      </c>
      <c r="C36" t="s">
        <v>71</v>
      </c>
      <c r="G36" t="s">
        <v>11</v>
      </c>
    </row>
    <row r="37" spans="1:7" x14ac:dyDescent="0.25">
      <c r="A37" t="s">
        <v>46</v>
      </c>
      <c r="B37" t="s">
        <v>46</v>
      </c>
      <c r="C37" t="s">
        <v>41</v>
      </c>
      <c r="G37" t="s">
        <v>11</v>
      </c>
    </row>
    <row r="38" spans="1:7" x14ac:dyDescent="0.25">
      <c r="A38" t="s">
        <v>47</v>
      </c>
      <c r="B38" t="s">
        <v>47</v>
      </c>
      <c r="C38" t="s">
        <v>50</v>
      </c>
      <c r="D38" t="s">
        <v>60</v>
      </c>
      <c r="G38" t="s">
        <v>11</v>
      </c>
    </row>
    <row r="39" spans="1:7" x14ac:dyDescent="0.25">
      <c r="A39" t="s">
        <v>48</v>
      </c>
      <c r="B39" t="s">
        <v>48</v>
      </c>
      <c r="C39" t="s">
        <v>78</v>
      </c>
      <c r="D39" t="s">
        <v>80</v>
      </c>
      <c r="G39" t="s">
        <v>11</v>
      </c>
    </row>
    <row r="40" spans="1:7" x14ac:dyDescent="0.25">
      <c r="A40" t="s">
        <v>49</v>
      </c>
      <c r="B40" t="s">
        <v>79</v>
      </c>
      <c r="C40" t="s">
        <v>78</v>
      </c>
      <c r="G40" t="s">
        <v>11</v>
      </c>
    </row>
    <row r="41" spans="1:7" x14ac:dyDescent="0.25">
      <c r="A41" t="s">
        <v>50</v>
      </c>
      <c r="B41" t="s">
        <v>50</v>
      </c>
      <c r="C41" t="s">
        <v>78</v>
      </c>
      <c r="D41" t="s">
        <v>47</v>
      </c>
      <c r="G41" t="s">
        <v>11</v>
      </c>
    </row>
    <row r="42" spans="1:7" x14ac:dyDescent="0.25">
      <c r="A42" t="s">
        <v>51</v>
      </c>
      <c r="B42" t="s">
        <v>51</v>
      </c>
      <c r="C42" t="s">
        <v>81</v>
      </c>
      <c r="G42" t="s">
        <v>11</v>
      </c>
    </row>
    <row r="43" spans="1:7" x14ac:dyDescent="0.25">
      <c r="A43" t="s">
        <v>52</v>
      </c>
      <c r="B43" t="s">
        <v>82</v>
      </c>
      <c r="C43" t="s">
        <v>69</v>
      </c>
      <c r="D43" t="s">
        <v>26</v>
      </c>
      <c r="G43" t="s">
        <v>11</v>
      </c>
    </row>
    <row r="44" spans="1:7" x14ac:dyDescent="0.25">
      <c r="A44" t="s">
        <v>53</v>
      </c>
      <c r="B44" t="s">
        <v>763</v>
      </c>
      <c r="C44" t="s">
        <v>64</v>
      </c>
      <c r="G44" t="s">
        <v>11</v>
      </c>
    </row>
    <row r="45" spans="1:7" x14ac:dyDescent="0.25">
      <c r="A45" t="s">
        <v>54</v>
      </c>
      <c r="B45" t="s">
        <v>75</v>
      </c>
      <c r="C45" t="s">
        <v>65</v>
      </c>
      <c r="D45" t="s">
        <v>76</v>
      </c>
      <c r="G45" t="s">
        <v>11</v>
      </c>
    </row>
    <row r="46" spans="1:7" x14ac:dyDescent="0.25">
      <c r="A46" t="s">
        <v>55</v>
      </c>
      <c r="B46" t="s">
        <v>55</v>
      </c>
      <c r="C46" t="s">
        <v>127</v>
      </c>
      <c r="G46" t="s">
        <v>11</v>
      </c>
    </row>
    <row r="47" spans="1:7" x14ac:dyDescent="0.25">
      <c r="A47" t="s">
        <v>56</v>
      </c>
      <c r="B47" t="s">
        <v>56</v>
      </c>
      <c r="C47" t="s">
        <v>64</v>
      </c>
      <c r="G47" t="s">
        <v>11</v>
      </c>
    </row>
    <row r="48" spans="1:7" x14ac:dyDescent="0.25">
      <c r="A48" t="s">
        <v>57</v>
      </c>
      <c r="B48" t="s">
        <v>81</v>
      </c>
      <c r="C48" t="s">
        <v>67</v>
      </c>
      <c r="D48" t="s">
        <v>766</v>
      </c>
      <c r="E48" t="s">
        <v>761</v>
      </c>
      <c r="G48" t="s">
        <v>11</v>
      </c>
    </row>
    <row r="49" spans="1:7" x14ac:dyDescent="0.25">
      <c r="A49" t="s">
        <v>58</v>
      </c>
      <c r="B49" t="s">
        <v>58</v>
      </c>
      <c r="C49" t="s">
        <v>69</v>
      </c>
      <c r="G49" t="s">
        <v>11</v>
      </c>
    </row>
    <row r="50" spans="1:7" x14ac:dyDescent="0.25">
      <c r="A50" t="s">
        <v>59</v>
      </c>
      <c r="B50" t="s">
        <v>59</v>
      </c>
      <c r="C50" t="s">
        <v>81</v>
      </c>
      <c r="G50" t="s">
        <v>11</v>
      </c>
    </row>
    <row r="51" spans="1:7" x14ac:dyDescent="0.25">
      <c r="A51" t="s">
        <v>60</v>
      </c>
      <c r="B51" t="s">
        <v>60</v>
      </c>
      <c r="C51" t="s">
        <v>47</v>
      </c>
      <c r="G51" t="s">
        <v>11</v>
      </c>
    </row>
    <row r="52" spans="1:7" x14ac:dyDescent="0.25">
      <c r="A52" t="s">
        <v>61</v>
      </c>
      <c r="B52" t="s">
        <v>61</v>
      </c>
      <c r="C52" t="s">
        <v>65</v>
      </c>
      <c r="G52" t="s">
        <v>11</v>
      </c>
    </row>
    <row r="53" spans="1:7" x14ac:dyDescent="0.25">
      <c r="A53" t="s">
        <v>62</v>
      </c>
      <c r="B53" t="s">
        <v>62</v>
      </c>
      <c r="C53" t="s">
        <v>65</v>
      </c>
      <c r="G53" t="s">
        <v>11</v>
      </c>
    </row>
    <row r="54" spans="1:7" x14ac:dyDescent="0.25">
      <c r="A54" t="s">
        <v>83</v>
      </c>
      <c r="B54" t="s">
        <v>83</v>
      </c>
      <c r="C54" t="s">
        <v>92</v>
      </c>
      <c r="G54" t="s">
        <v>11</v>
      </c>
    </row>
    <row r="55" spans="1:7" x14ac:dyDescent="0.25">
      <c r="A55" t="s">
        <v>84</v>
      </c>
      <c r="B55" t="s">
        <v>84</v>
      </c>
      <c r="C55" t="s">
        <v>92</v>
      </c>
      <c r="D55" t="s">
        <v>95</v>
      </c>
      <c r="G55" t="s">
        <v>11</v>
      </c>
    </row>
    <row r="56" spans="1:7" x14ac:dyDescent="0.25">
      <c r="A56" t="s">
        <v>85</v>
      </c>
      <c r="B56" t="s">
        <v>96</v>
      </c>
      <c r="C56" t="s">
        <v>64</v>
      </c>
      <c r="D56" t="s">
        <v>99</v>
      </c>
      <c r="G56" t="s">
        <v>11</v>
      </c>
    </row>
    <row r="57" spans="1:7" x14ac:dyDescent="0.25">
      <c r="A57" t="s">
        <v>86</v>
      </c>
      <c r="B57" t="s">
        <v>86</v>
      </c>
      <c r="C57" t="s">
        <v>88</v>
      </c>
      <c r="G57" t="s">
        <v>11</v>
      </c>
    </row>
    <row r="58" spans="1:7" x14ac:dyDescent="0.25">
      <c r="A58" t="s">
        <v>87</v>
      </c>
      <c r="B58" t="s">
        <v>87</v>
      </c>
      <c r="C58" t="s">
        <v>96</v>
      </c>
      <c r="G58" t="s">
        <v>11</v>
      </c>
    </row>
    <row r="59" spans="1:7" x14ac:dyDescent="0.25">
      <c r="A59" t="s">
        <v>88</v>
      </c>
      <c r="B59" t="s">
        <v>88</v>
      </c>
      <c r="C59" t="s">
        <v>96</v>
      </c>
      <c r="D59" t="s">
        <v>98</v>
      </c>
      <c r="G59" t="s">
        <v>11</v>
      </c>
    </row>
    <row r="60" spans="1:7" x14ac:dyDescent="0.25">
      <c r="A60" t="s">
        <v>89</v>
      </c>
      <c r="B60" t="s">
        <v>89</v>
      </c>
      <c r="C60" t="s">
        <v>88</v>
      </c>
      <c r="G60" t="s">
        <v>11</v>
      </c>
    </row>
    <row r="61" spans="1:7" x14ac:dyDescent="0.25">
      <c r="A61" t="s">
        <v>90</v>
      </c>
      <c r="B61" t="s">
        <v>90</v>
      </c>
      <c r="C61" t="s">
        <v>92</v>
      </c>
      <c r="G61" t="s">
        <v>11</v>
      </c>
    </row>
    <row r="62" spans="1:7" x14ac:dyDescent="0.25">
      <c r="A62" t="s">
        <v>91</v>
      </c>
      <c r="B62" t="s">
        <v>91</v>
      </c>
      <c r="C62" t="s">
        <v>96</v>
      </c>
      <c r="G62" t="s">
        <v>11</v>
      </c>
    </row>
    <row r="63" spans="1:7" x14ac:dyDescent="0.25">
      <c r="A63" t="s">
        <v>92</v>
      </c>
      <c r="B63" t="s">
        <v>92</v>
      </c>
      <c r="C63" t="s">
        <v>96</v>
      </c>
      <c r="D63" t="s">
        <v>97</v>
      </c>
      <c r="G63" t="s">
        <v>11</v>
      </c>
    </row>
    <row r="64" spans="1:7" x14ac:dyDescent="0.25">
      <c r="A64" t="s">
        <v>93</v>
      </c>
      <c r="B64" t="s">
        <v>93</v>
      </c>
      <c r="C64" t="s">
        <v>93</v>
      </c>
      <c r="G64" t="s">
        <v>11</v>
      </c>
    </row>
    <row r="65" spans="1:7" x14ac:dyDescent="0.25">
      <c r="A65" t="s">
        <v>94</v>
      </c>
      <c r="B65" t="s">
        <v>94</v>
      </c>
      <c r="C65" t="s">
        <v>92</v>
      </c>
      <c r="G65" t="s">
        <v>11</v>
      </c>
    </row>
    <row r="66" spans="1:7" x14ac:dyDescent="0.25">
      <c r="A66" t="s">
        <v>95</v>
      </c>
      <c r="B66" t="s">
        <v>95</v>
      </c>
      <c r="C66" t="s">
        <v>95</v>
      </c>
      <c r="D66" t="s">
        <v>93</v>
      </c>
      <c r="G66" t="s">
        <v>11</v>
      </c>
    </row>
    <row r="67" spans="1:7" x14ac:dyDescent="0.25">
      <c r="A67" t="s">
        <v>100</v>
      </c>
      <c r="B67" t="s">
        <v>100</v>
      </c>
      <c r="C67" t="s">
        <v>106</v>
      </c>
      <c r="G67" t="s">
        <v>11</v>
      </c>
    </row>
    <row r="68" spans="1:7" x14ac:dyDescent="0.25">
      <c r="A68" t="s">
        <v>101</v>
      </c>
      <c r="B68" t="s">
        <v>101</v>
      </c>
      <c r="C68" t="s">
        <v>126</v>
      </c>
      <c r="G68" t="s">
        <v>11</v>
      </c>
    </row>
    <row r="69" spans="1:7" x14ac:dyDescent="0.25">
      <c r="A69" t="s">
        <v>102</v>
      </c>
      <c r="B69" t="s">
        <v>102</v>
      </c>
      <c r="C69" t="s">
        <v>105</v>
      </c>
      <c r="G69" t="s">
        <v>11</v>
      </c>
    </row>
    <row r="70" spans="1:7" x14ac:dyDescent="0.25">
      <c r="A70" t="s">
        <v>103</v>
      </c>
      <c r="B70" t="s">
        <v>103</v>
      </c>
      <c r="C70" t="s">
        <v>106</v>
      </c>
      <c r="G70" t="s">
        <v>11</v>
      </c>
    </row>
    <row r="71" spans="1:7" x14ac:dyDescent="0.25">
      <c r="A71" t="s">
        <v>104</v>
      </c>
      <c r="B71" t="s">
        <v>104</v>
      </c>
      <c r="C71" t="s">
        <v>126</v>
      </c>
      <c r="G71" t="s">
        <v>11</v>
      </c>
    </row>
    <row r="72" spans="1:7" x14ac:dyDescent="0.25">
      <c r="A72" t="s">
        <v>105</v>
      </c>
      <c r="B72" t="s">
        <v>105</v>
      </c>
      <c r="C72" t="s">
        <v>106</v>
      </c>
      <c r="D72" t="s">
        <v>102</v>
      </c>
      <c r="G72" t="s">
        <v>11</v>
      </c>
    </row>
    <row r="73" spans="1:7" x14ac:dyDescent="0.25">
      <c r="A73" t="s">
        <v>106</v>
      </c>
      <c r="B73" t="s">
        <v>106</v>
      </c>
      <c r="C73" t="s">
        <v>127</v>
      </c>
      <c r="D73" t="s">
        <v>128</v>
      </c>
      <c r="G73" t="s">
        <v>11</v>
      </c>
    </row>
    <row r="74" spans="1:7" x14ac:dyDescent="0.25">
      <c r="A74" t="s">
        <v>107</v>
      </c>
      <c r="B74" t="s">
        <v>107</v>
      </c>
      <c r="C74" t="s">
        <v>126</v>
      </c>
      <c r="G74" t="s">
        <v>11</v>
      </c>
    </row>
    <row r="75" spans="1:7" x14ac:dyDescent="0.25">
      <c r="A75" t="s">
        <v>108</v>
      </c>
      <c r="B75" t="s">
        <v>108</v>
      </c>
      <c r="C75" t="s">
        <v>109</v>
      </c>
      <c r="G75" t="s">
        <v>11</v>
      </c>
    </row>
    <row r="76" spans="1:7" x14ac:dyDescent="0.25">
      <c r="A76" t="s">
        <v>109</v>
      </c>
      <c r="B76" t="s">
        <v>109</v>
      </c>
      <c r="C76" t="s">
        <v>127</v>
      </c>
      <c r="D76" t="s">
        <v>108</v>
      </c>
      <c r="G76" t="s">
        <v>11</v>
      </c>
    </row>
    <row r="77" spans="1:7" x14ac:dyDescent="0.25">
      <c r="A77" t="s">
        <v>110</v>
      </c>
      <c r="B77" t="s">
        <v>110</v>
      </c>
      <c r="C77" t="s">
        <v>118</v>
      </c>
      <c r="D77" t="s">
        <v>121</v>
      </c>
      <c r="G77" t="s">
        <v>11</v>
      </c>
    </row>
    <row r="78" spans="1:7" x14ac:dyDescent="0.25">
      <c r="A78" t="s">
        <v>111</v>
      </c>
      <c r="B78" t="s">
        <v>111</v>
      </c>
      <c r="C78" t="s">
        <v>127</v>
      </c>
      <c r="G78" t="s">
        <v>11</v>
      </c>
    </row>
    <row r="79" spans="1:7" x14ac:dyDescent="0.25">
      <c r="A79" t="s">
        <v>112</v>
      </c>
      <c r="B79" t="s">
        <v>112</v>
      </c>
      <c r="C79" t="s">
        <v>127</v>
      </c>
      <c r="G79" t="s">
        <v>11</v>
      </c>
    </row>
    <row r="80" spans="1:7" x14ac:dyDescent="0.25">
      <c r="A80" t="s">
        <v>113</v>
      </c>
      <c r="B80" t="s">
        <v>113</v>
      </c>
      <c r="C80" t="s">
        <v>126</v>
      </c>
      <c r="G80" t="s">
        <v>11</v>
      </c>
    </row>
    <row r="81" spans="1:7" x14ac:dyDescent="0.25">
      <c r="A81" t="s">
        <v>114</v>
      </c>
      <c r="B81" t="s">
        <v>114</v>
      </c>
      <c r="C81" t="s">
        <v>117</v>
      </c>
      <c r="G81" t="s">
        <v>11</v>
      </c>
    </row>
    <row r="82" spans="1:7" x14ac:dyDescent="0.25">
      <c r="A82" t="s">
        <v>115</v>
      </c>
      <c r="B82" t="s">
        <v>115</v>
      </c>
      <c r="C82" t="s">
        <v>127</v>
      </c>
      <c r="D82" t="s">
        <v>117</v>
      </c>
      <c r="G82" t="s">
        <v>11</v>
      </c>
    </row>
    <row r="83" spans="1:7" x14ac:dyDescent="0.25">
      <c r="A83" t="s">
        <v>116</v>
      </c>
      <c r="B83" t="s">
        <v>116</v>
      </c>
      <c r="C83" t="s">
        <v>118</v>
      </c>
      <c r="G83" t="s">
        <v>11</v>
      </c>
    </row>
    <row r="84" spans="1:7" x14ac:dyDescent="0.25">
      <c r="A84" t="s">
        <v>117</v>
      </c>
      <c r="B84" t="s">
        <v>117</v>
      </c>
      <c r="C84" t="s">
        <v>115</v>
      </c>
      <c r="D84" t="s">
        <v>770</v>
      </c>
      <c r="G84" t="s">
        <v>11</v>
      </c>
    </row>
    <row r="85" spans="1:7" x14ac:dyDescent="0.25">
      <c r="A85" t="s">
        <v>118</v>
      </c>
      <c r="B85" t="s">
        <v>118</v>
      </c>
      <c r="C85" t="s">
        <v>117</v>
      </c>
      <c r="D85" t="s">
        <v>769</v>
      </c>
      <c r="G85" t="s">
        <v>11</v>
      </c>
    </row>
    <row r="86" spans="1:7" x14ac:dyDescent="0.25">
      <c r="A86" t="s">
        <v>119</v>
      </c>
      <c r="B86" t="s">
        <v>127</v>
      </c>
      <c r="C86" t="s">
        <v>67</v>
      </c>
      <c r="D86" t="s">
        <v>759</v>
      </c>
      <c r="G86" t="s">
        <v>11</v>
      </c>
    </row>
    <row r="87" spans="1:7" x14ac:dyDescent="0.25">
      <c r="A87" t="s">
        <v>120</v>
      </c>
      <c r="B87" t="s">
        <v>120</v>
      </c>
      <c r="C87" t="s">
        <v>125</v>
      </c>
      <c r="G87" t="s">
        <v>11</v>
      </c>
    </row>
    <row r="88" spans="1:7" x14ac:dyDescent="0.25">
      <c r="A88" t="s">
        <v>121</v>
      </c>
      <c r="B88" t="s">
        <v>121</v>
      </c>
      <c r="C88" t="s">
        <v>130</v>
      </c>
      <c r="G88" t="s">
        <v>11</v>
      </c>
    </row>
    <row r="89" spans="1:7" x14ac:dyDescent="0.25">
      <c r="A89" t="s">
        <v>122</v>
      </c>
      <c r="B89" t="s">
        <v>122</v>
      </c>
      <c r="C89" t="s">
        <v>106</v>
      </c>
      <c r="G89" t="s">
        <v>11</v>
      </c>
    </row>
    <row r="90" spans="1:7" x14ac:dyDescent="0.25">
      <c r="A90" t="s">
        <v>123</v>
      </c>
      <c r="B90" t="s">
        <v>123</v>
      </c>
      <c r="C90" t="s">
        <v>127</v>
      </c>
      <c r="G90" t="s">
        <v>11</v>
      </c>
    </row>
    <row r="91" spans="1:7" x14ac:dyDescent="0.25">
      <c r="A91" t="s">
        <v>124</v>
      </c>
      <c r="B91" t="s">
        <v>124</v>
      </c>
      <c r="C91" t="s">
        <v>127</v>
      </c>
      <c r="G91" t="s">
        <v>11</v>
      </c>
    </row>
    <row r="92" spans="1:7" x14ac:dyDescent="0.25">
      <c r="A92" t="s">
        <v>125</v>
      </c>
      <c r="B92" t="s">
        <v>125</v>
      </c>
      <c r="C92" t="s">
        <v>118</v>
      </c>
      <c r="D92" t="s">
        <v>120</v>
      </c>
      <c r="G92" t="s">
        <v>11</v>
      </c>
    </row>
    <row r="93" spans="1:7" x14ac:dyDescent="0.25">
      <c r="A93" t="s">
        <v>126</v>
      </c>
      <c r="B93" t="s">
        <v>126</v>
      </c>
      <c r="C93" t="s">
        <v>106</v>
      </c>
      <c r="D93" t="s">
        <v>129</v>
      </c>
      <c r="G93" t="s">
        <v>11</v>
      </c>
    </row>
    <row r="94" spans="1:7" x14ac:dyDescent="0.25">
      <c r="A94" t="s">
        <v>131</v>
      </c>
      <c r="B94" t="s">
        <v>131</v>
      </c>
      <c r="C94" t="s">
        <v>3</v>
      </c>
      <c r="G94" t="s">
        <v>762</v>
      </c>
    </row>
    <row r="95" spans="1:7" x14ac:dyDescent="0.25">
      <c r="A95" t="s">
        <v>132</v>
      </c>
      <c r="B95" t="s">
        <v>132</v>
      </c>
      <c r="C95" t="s">
        <v>3</v>
      </c>
      <c r="G95" t="s">
        <v>11</v>
      </c>
    </row>
    <row r="96" spans="1:7" x14ac:dyDescent="0.25">
      <c r="A96" t="s">
        <v>133</v>
      </c>
      <c r="B96" t="s">
        <v>133</v>
      </c>
      <c r="C96" t="s">
        <v>3</v>
      </c>
      <c r="G96" t="s">
        <v>11</v>
      </c>
    </row>
    <row r="97" spans="1:7" x14ac:dyDescent="0.25">
      <c r="A97" t="s">
        <v>134</v>
      </c>
      <c r="B97" t="s">
        <v>134</v>
      </c>
      <c r="C97" t="s">
        <v>3</v>
      </c>
      <c r="G97" t="s">
        <v>11</v>
      </c>
    </row>
    <row r="98" spans="1:7" x14ac:dyDescent="0.25">
      <c r="A98" t="s">
        <v>135</v>
      </c>
      <c r="B98" t="s">
        <v>135</v>
      </c>
      <c r="C98" t="s">
        <v>3</v>
      </c>
      <c r="G98" t="s">
        <v>11</v>
      </c>
    </row>
    <row r="99" spans="1:7" x14ac:dyDescent="0.25">
      <c r="A99" t="s">
        <v>136</v>
      </c>
      <c r="B99" t="s">
        <v>136</v>
      </c>
      <c r="C99" t="s">
        <v>3</v>
      </c>
      <c r="G99" t="s">
        <v>11</v>
      </c>
    </row>
    <row r="100" spans="1:7" x14ac:dyDescent="0.25">
      <c r="A100" t="s">
        <v>137</v>
      </c>
      <c r="B100" t="s">
        <v>137</v>
      </c>
      <c r="C100" t="s">
        <v>3</v>
      </c>
      <c r="G100" t="s">
        <v>11</v>
      </c>
    </row>
    <row r="101" spans="1:7" x14ac:dyDescent="0.25">
      <c r="A101" t="s">
        <v>367</v>
      </c>
      <c r="B101" t="s">
        <v>388</v>
      </c>
      <c r="C101" t="s">
        <v>3</v>
      </c>
      <c r="D101" t="s">
        <v>390</v>
      </c>
      <c r="G101" t="s">
        <v>11</v>
      </c>
    </row>
    <row r="102" spans="1:7" x14ac:dyDescent="0.25">
      <c r="A102" t="s">
        <v>368</v>
      </c>
      <c r="B102" t="s">
        <v>368</v>
      </c>
      <c r="C102" t="s">
        <v>371</v>
      </c>
      <c r="G102" t="s">
        <v>11</v>
      </c>
    </row>
    <row r="103" spans="1:7" x14ac:dyDescent="0.25">
      <c r="A103" t="s">
        <v>369</v>
      </c>
      <c r="B103" t="s">
        <v>369</v>
      </c>
      <c r="C103" t="s">
        <v>388</v>
      </c>
      <c r="D103" t="s">
        <v>768</v>
      </c>
      <c r="G103" t="s">
        <v>11</v>
      </c>
    </row>
    <row r="104" spans="1:7" x14ac:dyDescent="0.25">
      <c r="A104" t="s">
        <v>370</v>
      </c>
      <c r="B104" t="s">
        <v>370</v>
      </c>
      <c r="C104" t="s">
        <v>369</v>
      </c>
      <c r="G104" t="s">
        <v>11</v>
      </c>
    </row>
    <row r="105" spans="1:7" x14ac:dyDescent="0.25">
      <c r="A105" t="s">
        <v>371</v>
      </c>
      <c r="B105" t="s">
        <v>371</v>
      </c>
      <c r="C105" t="s">
        <v>388</v>
      </c>
      <c r="D105" t="s">
        <v>391</v>
      </c>
      <c r="G105" t="s">
        <v>11</v>
      </c>
    </row>
    <row r="106" spans="1:7" x14ac:dyDescent="0.25">
      <c r="A106" t="s">
        <v>372</v>
      </c>
      <c r="B106" t="s">
        <v>372</v>
      </c>
      <c r="C106" t="s">
        <v>371</v>
      </c>
      <c r="D106" t="s">
        <v>375</v>
      </c>
      <c r="G106" t="s">
        <v>11</v>
      </c>
    </row>
    <row r="107" spans="1:7" x14ac:dyDescent="0.25">
      <c r="A107" t="s">
        <v>373</v>
      </c>
      <c r="B107" t="s">
        <v>373</v>
      </c>
      <c r="C107" t="s">
        <v>385</v>
      </c>
      <c r="G107" t="s">
        <v>11</v>
      </c>
    </row>
    <row r="108" spans="1:7" x14ac:dyDescent="0.25">
      <c r="A108" t="s">
        <v>374</v>
      </c>
      <c r="B108" t="s">
        <v>374</v>
      </c>
      <c r="C108" t="s">
        <v>388</v>
      </c>
      <c r="G108" t="s">
        <v>11</v>
      </c>
    </row>
    <row r="109" spans="1:7" x14ac:dyDescent="0.25">
      <c r="A109" t="s">
        <v>375</v>
      </c>
      <c r="B109" t="s">
        <v>375</v>
      </c>
      <c r="C109" t="s">
        <v>372</v>
      </c>
      <c r="G109" t="s">
        <v>11</v>
      </c>
    </row>
    <row r="110" spans="1:7" x14ac:dyDescent="0.25">
      <c r="A110" t="s">
        <v>376</v>
      </c>
      <c r="B110" t="s">
        <v>376</v>
      </c>
      <c r="C110" t="s">
        <v>388</v>
      </c>
      <c r="G110" t="s">
        <v>11</v>
      </c>
    </row>
    <row r="111" spans="1:7" x14ac:dyDescent="0.25">
      <c r="A111" t="s">
        <v>377</v>
      </c>
      <c r="B111" t="s">
        <v>377</v>
      </c>
      <c r="C111" t="s">
        <v>388</v>
      </c>
      <c r="G111" t="s">
        <v>11</v>
      </c>
    </row>
    <row r="112" spans="1:7" x14ac:dyDescent="0.25">
      <c r="A112" t="s">
        <v>378</v>
      </c>
      <c r="B112" t="s">
        <v>378</v>
      </c>
      <c r="C112" t="s">
        <v>369</v>
      </c>
      <c r="G112" t="s">
        <v>11</v>
      </c>
    </row>
    <row r="113" spans="1:7" x14ac:dyDescent="0.25">
      <c r="A113" t="s">
        <v>379</v>
      </c>
      <c r="B113" t="s">
        <v>379</v>
      </c>
      <c r="C113" t="s">
        <v>388</v>
      </c>
      <c r="G113" t="s">
        <v>11</v>
      </c>
    </row>
    <row r="114" spans="1:7" x14ac:dyDescent="0.25">
      <c r="A114" t="s">
        <v>380</v>
      </c>
      <c r="B114" t="s">
        <v>380</v>
      </c>
      <c r="C114" t="s">
        <v>371</v>
      </c>
      <c r="G114" t="s">
        <v>11</v>
      </c>
    </row>
    <row r="115" spans="1:7" x14ac:dyDescent="0.25">
      <c r="A115" t="s">
        <v>381</v>
      </c>
      <c r="B115" t="s">
        <v>381</v>
      </c>
      <c r="C115" t="s">
        <v>389</v>
      </c>
      <c r="G115" t="s">
        <v>11</v>
      </c>
    </row>
    <row r="116" spans="1:7" x14ac:dyDescent="0.25">
      <c r="A116" t="s">
        <v>382</v>
      </c>
      <c r="B116" t="s">
        <v>382</v>
      </c>
      <c r="C116" t="s">
        <v>388</v>
      </c>
      <c r="G116" t="s">
        <v>11</v>
      </c>
    </row>
    <row r="117" spans="1:7" x14ac:dyDescent="0.25">
      <c r="A117" t="s">
        <v>383</v>
      </c>
      <c r="B117" t="s">
        <v>383</v>
      </c>
      <c r="C117" t="s">
        <v>388</v>
      </c>
      <c r="G117" t="s">
        <v>11</v>
      </c>
    </row>
    <row r="118" spans="1:7" x14ac:dyDescent="0.25">
      <c r="A118" t="s">
        <v>384</v>
      </c>
      <c r="B118" t="s">
        <v>384</v>
      </c>
      <c r="C118" t="s">
        <v>389</v>
      </c>
      <c r="G118" t="s">
        <v>11</v>
      </c>
    </row>
    <row r="119" spans="1:7" x14ac:dyDescent="0.25">
      <c r="A119" t="s">
        <v>385</v>
      </c>
      <c r="B119" t="s">
        <v>385</v>
      </c>
      <c r="C119" t="s">
        <v>371</v>
      </c>
      <c r="D119" t="s">
        <v>373</v>
      </c>
      <c r="G119" t="s">
        <v>11</v>
      </c>
    </row>
    <row r="120" spans="1:7" x14ac:dyDescent="0.25">
      <c r="A120" t="s">
        <v>386</v>
      </c>
      <c r="B120" t="s">
        <v>389</v>
      </c>
      <c r="C120" t="s">
        <v>3</v>
      </c>
      <c r="D120" t="s">
        <v>392</v>
      </c>
      <c r="G120" t="s">
        <v>11</v>
      </c>
    </row>
    <row r="121" spans="1:7" x14ac:dyDescent="0.25">
      <c r="A121" t="s">
        <v>387</v>
      </c>
      <c r="B121" t="s">
        <v>387</v>
      </c>
      <c r="C121" t="s">
        <v>369</v>
      </c>
      <c r="G121" t="s">
        <v>11</v>
      </c>
    </row>
    <row r="122" spans="1:7" x14ac:dyDescent="0.25">
      <c r="A122" t="s">
        <v>619</v>
      </c>
      <c r="B122" t="s">
        <v>639</v>
      </c>
      <c r="C122" t="s">
        <v>3</v>
      </c>
      <c r="D122" t="s">
        <v>638</v>
      </c>
      <c r="G122" t="s">
        <v>11</v>
      </c>
    </row>
    <row r="123" spans="1:7" x14ac:dyDescent="0.25">
      <c r="A123" t="s">
        <v>620</v>
      </c>
      <c r="B123" t="s">
        <v>620</v>
      </c>
      <c r="C123" t="s">
        <v>637</v>
      </c>
      <c r="G123" t="s">
        <v>11</v>
      </c>
    </row>
    <row r="124" spans="1:7" x14ac:dyDescent="0.25">
      <c r="A124" t="s">
        <v>621</v>
      </c>
      <c r="B124" t="s">
        <v>621</v>
      </c>
      <c r="C124" t="s">
        <v>637</v>
      </c>
      <c r="D124" t="s">
        <v>622</v>
      </c>
      <c r="G124" t="s">
        <v>11</v>
      </c>
    </row>
    <row r="125" spans="1:7" x14ac:dyDescent="0.25">
      <c r="A125" t="s">
        <v>622</v>
      </c>
      <c r="B125" t="s">
        <v>622</v>
      </c>
      <c r="C125" t="s">
        <v>621</v>
      </c>
      <c r="G125" t="s">
        <v>11</v>
      </c>
    </row>
    <row r="126" spans="1:7" x14ac:dyDescent="0.25">
      <c r="A126" t="s">
        <v>623</v>
      </c>
      <c r="B126" t="s">
        <v>623</v>
      </c>
      <c r="C126" t="s">
        <v>637</v>
      </c>
      <c r="G126" t="s">
        <v>11</v>
      </c>
    </row>
    <row r="127" spans="1:7" x14ac:dyDescent="0.25">
      <c r="A127" t="s">
        <v>624</v>
      </c>
      <c r="B127" t="s">
        <v>624</v>
      </c>
      <c r="C127" t="s">
        <v>628</v>
      </c>
      <c r="D127" t="s">
        <v>643</v>
      </c>
      <c r="G127" t="s">
        <v>11</v>
      </c>
    </row>
    <row r="128" spans="1:7" x14ac:dyDescent="0.25">
      <c r="A128" t="s">
        <v>625</v>
      </c>
      <c r="B128" t="s">
        <v>637</v>
      </c>
      <c r="C128" t="s">
        <v>3</v>
      </c>
      <c r="D128" t="s">
        <v>640</v>
      </c>
      <c r="G128" t="s">
        <v>11</v>
      </c>
    </row>
    <row r="129" spans="1:7" x14ac:dyDescent="0.25">
      <c r="A129" t="s">
        <v>626</v>
      </c>
      <c r="B129" t="s">
        <v>626</v>
      </c>
      <c r="C129" t="s">
        <v>632</v>
      </c>
      <c r="G129" t="s">
        <v>11</v>
      </c>
    </row>
    <row r="130" spans="1:7" x14ac:dyDescent="0.25">
      <c r="A130" t="s">
        <v>627</v>
      </c>
      <c r="B130" t="s">
        <v>627</v>
      </c>
      <c r="C130" t="s">
        <v>637</v>
      </c>
      <c r="G130" t="s">
        <v>11</v>
      </c>
    </row>
    <row r="131" spans="1:7" x14ac:dyDescent="0.25">
      <c r="A131" t="s">
        <v>628</v>
      </c>
      <c r="B131" t="s">
        <v>628</v>
      </c>
      <c r="C131" t="s">
        <v>637</v>
      </c>
      <c r="D131" t="s">
        <v>642</v>
      </c>
      <c r="G131" t="s">
        <v>11</v>
      </c>
    </row>
    <row r="132" spans="1:7" x14ac:dyDescent="0.25">
      <c r="A132" t="s">
        <v>629</v>
      </c>
      <c r="B132" t="s">
        <v>629</v>
      </c>
      <c r="C132" t="s">
        <v>639</v>
      </c>
      <c r="G132" t="s">
        <v>11</v>
      </c>
    </row>
    <row r="133" spans="1:7" x14ac:dyDescent="0.25">
      <c r="A133" t="s">
        <v>630</v>
      </c>
      <c r="B133" t="s">
        <v>630</v>
      </c>
      <c r="C133" t="s">
        <v>632</v>
      </c>
      <c r="G133" t="s">
        <v>11</v>
      </c>
    </row>
    <row r="134" spans="1:7" x14ac:dyDescent="0.25">
      <c r="A134" t="s">
        <v>631</v>
      </c>
      <c r="B134" t="s">
        <v>631</v>
      </c>
      <c r="C134" t="s">
        <v>628</v>
      </c>
      <c r="G134" t="s">
        <v>11</v>
      </c>
    </row>
    <row r="135" spans="1:7" x14ac:dyDescent="0.25">
      <c r="A135" t="s">
        <v>632</v>
      </c>
      <c r="B135" t="s">
        <v>632</v>
      </c>
      <c r="C135" t="s">
        <v>637</v>
      </c>
      <c r="D135" t="s">
        <v>641</v>
      </c>
      <c r="G135" t="s">
        <v>11</v>
      </c>
    </row>
    <row r="136" spans="1:7" x14ac:dyDescent="0.25">
      <c r="A136" t="s">
        <v>633</v>
      </c>
      <c r="B136" t="s">
        <v>633</v>
      </c>
      <c r="C136" t="s">
        <v>639</v>
      </c>
      <c r="G136" t="s">
        <v>11</v>
      </c>
    </row>
    <row r="137" spans="1:7" x14ac:dyDescent="0.25">
      <c r="A137" t="s">
        <v>634</v>
      </c>
      <c r="B137" t="s">
        <v>634</v>
      </c>
      <c r="C137" t="s">
        <v>624</v>
      </c>
      <c r="G137" t="s">
        <v>11</v>
      </c>
    </row>
    <row r="138" spans="1:7" x14ac:dyDescent="0.25">
      <c r="A138" t="s">
        <v>635</v>
      </c>
      <c r="B138" t="s">
        <v>635</v>
      </c>
      <c r="C138" t="s">
        <v>624</v>
      </c>
      <c r="G138" t="s">
        <v>11</v>
      </c>
    </row>
    <row r="139" spans="1:7" x14ac:dyDescent="0.25">
      <c r="A139" t="s">
        <v>636</v>
      </c>
      <c r="B139" t="s">
        <v>636</v>
      </c>
      <c r="C139" t="s">
        <v>637</v>
      </c>
      <c r="G139" t="s">
        <v>11</v>
      </c>
    </row>
    <row r="140" spans="1:7" x14ac:dyDescent="0.25">
      <c r="A140" t="s">
        <v>644</v>
      </c>
      <c r="B140" t="s">
        <v>644</v>
      </c>
      <c r="C140" t="s">
        <v>649</v>
      </c>
      <c r="D140" t="s">
        <v>654</v>
      </c>
      <c r="G140" t="s">
        <v>11</v>
      </c>
    </row>
    <row r="141" spans="1:7" x14ac:dyDescent="0.25">
      <c r="A141" t="s">
        <v>645</v>
      </c>
      <c r="B141" t="s">
        <v>645</v>
      </c>
      <c r="C141" t="s">
        <v>647</v>
      </c>
      <c r="G141" t="s">
        <v>11</v>
      </c>
    </row>
    <row r="142" spans="1:7" x14ac:dyDescent="0.25">
      <c r="A142" t="s">
        <v>646</v>
      </c>
      <c r="B142" t="s">
        <v>646</v>
      </c>
      <c r="C142" t="s">
        <v>657</v>
      </c>
      <c r="D142" t="s">
        <v>658</v>
      </c>
      <c r="G142" t="s">
        <v>11</v>
      </c>
    </row>
    <row r="143" spans="1:7" x14ac:dyDescent="0.25">
      <c r="A143" t="s">
        <v>647</v>
      </c>
      <c r="B143" t="s">
        <v>647</v>
      </c>
      <c r="C143" t="s">
        <v>657</v>
      </c>
      <c r="D143" t="s">
        <v>659</v>
      </c>
      <c r="G143" t="s">
        <v>11</v>
      </c>
    </row>
    <row r="144" spans="1:7" x14ac:dyDescent="0.25">
      <c r="A144" t="s">
        <v>648</v>
      </c>
      <c r="B144" t="s">
        <v>648</v>
      </c>
      <c r="C144" t="s">
        <v>657</v>
      </c>
      <c r="G144" t="s">
        <v>11</v>
      </c>
    </row>
    <row r="145" spans="1:7" x14ac:dyDescent="0.25">
      <c r="A145" t="s">
        <v>649</v>
      </c>
      <c r="B145" t="s">
        <v>649</v>
      </c>
      <c r="C145" t="s">
        <v>646</v>
      </c>
      <c r="D145" t="s">
        <v>644</v>
      </c>
      <c r="G145" t="s">
        <v>11</v>
      </c>
    </row>
    <row r="146" spans="1:7" x14ac:dyDescent="0.25">
      <c r="A146" t="s">
        <v>650</v>
      </c>
      <c r="B146" t="s">
        <v>650</v>
      </c>
      <c r="C146" t="s">
        <v>646</v>
      </c>
      <c r="G146" t="s">
        <v>11</v>
      </c>
    </row>
    <row r="147" spans="1:7" x14ac:dyDescent="0.25">
      <c r="A147" t="s">
        <v>651</v>
      </c>
      <c r="B147" t="s">
        <v>651</v>
      </c>
      <c r="C147" t="s">
        <v>657</v>
      </c>
      <c r="G147" t="s">
        <v>11</v>
      </c>
    </row>
    <row r="148" spans="1:7" x14ac:dyDescent="0.25">
      <c r="A148" t="s">
        <v>652</v>
      </c>
      <c r="B148" t="s">
        <v>652</v>
      </c>
      <c r="C148" t="s">
        <v>647</v>
      </c>
      <c r="G148" t="s">
        <v>11</v>
      </c>
    </row>
    <row r="149" spans="1:7" x14ac:dyDescent="0.25">
      <c r="A149" t="s">
        <v>653</v>
      </c>
      <c r="B149" t="s">
        <v>657</v>
      </c>
      <c r="C149" t="s">
        <v>78</v>
      </c>
      <c r="D149" t="s">
        <v>767</v>
      </c>
      <c r="G149" t="s">
        <v>11</v>
      </c>
    </row>
    <row r="150" spans="1:7" x14ac:dyDescent="0.25">
      <c r="A150" t="s">
        <v>654</v>
      </c>
      <c r="B150" t="s">
        <v>654</v>
      </c>
      <c r="C150" t="s">
        <v>644</v>
      </c>
      <c r="G150" t="s">
        <v>11</v>
      </c>
    </row>
    <row r="151" spans="1:7" x14ac:dyDescent="0.25">
      <c r="A151" t="s">
        <v>655</v>
      </c>
      <c r="B151" t="s">
        <v>655</v>
      </c>
      <c r="C151" t="s">
        <v>646</v>
      </c>
      <c r="G151" t="s">
        <v>11</v>
      </c>
    </row>
    <row r="152" spans="1:7" x14ac:dyDescent="0.25">
      <c r="A152" t="s">
        <v>656</v>
      </c>
      <c r="B152" t="s">
        <v>656</v>
      </c>
      <c r="C152" t="s">
        <v>646</v>
      </c>
      <c r="G152" t="s">
        <v>11</v>
      </c>
    </row>
    <row r="153" spans="1:7" x14ac:dyDescent="0.25">
      <c r="A153" t="s">
        <v>660</v>
      </c>
      <c r="B153" t="s">
        <v>660</v>
      </c>
      <c r="C153" t="s">
        <v>661</v>
      </c>
      <c r="G153" t="s">
        <v>11</v>
      </c>
    </row>
    <row r="154" spans="1:7" x14ac:dyDescent="0.25">
      <c r="A154" t="s">
        <v>661</v>
      </c>
      <c r="B154" t="s">
        <v>661</v>
      </c>
      <c r="C154" t="s">
        <v>687</v>
      </c>
      <c r="D154" t="s">
        <v>690</v>
      </c>
      <c r="G154" t="s">
        <v>11</v>
      </c>
    </row>
    <row r="155" spans="1:7" x14ac:dyDescent="0.25">
      <c r="A155" t="s">
        <v>662</v>
      </c>
      <c r="B155" t="s">
        <v>662</v>
      </c>
      <c r="C155" t="s">
        <v>661</v>
      </c>
      <c r="G155" t="s">
        <v>11</v>
      </c>
    </row>
    <row r="156" spans="1:7" x14ac:dyDescent="0.25">
      <c r="A156" t="s">
        <v>663</v>
      </c>
      <c r="B156" t="s">
        <v>663</v>
      </c>
      <c r="C156" t="s">
        <v>667</v>
      </c>
      <c r="G156" t="s">
        <v>11</v>
      </c>
    </row>
    <row r="157" spans="1:7" x14ac:dyDescent="0.25">
      <c r="A157" t="s">
        <v>664</v>
      </c>
      <c r="B157" t="s">
        <v>664</v>
      </c>
      <c r="C157" t="s">
        <v>667</v>
      </c>
      <c r="G157" t="s">
        <v>11</v>
      </c>
    </row>
    <row r="158" spans="1:7" x14ac:dyDescent="0.25">
      <c r="A158" t="s">
        <v>665</v>
      </c>
      <c r="B158" t="s">
        <v>665</v>
      </c>
      <c r="C158" t="s">
        <v>661</v>
      </c>
      <c r="D158" t="s">
        <v>666</v>
      </c>
      <c r="G158" t="s">
        <v>11</v>
      </c>
    </row>
    <row r="159" spans="1:7" x14ac:dyDescent="0.25">
      <c r="A159" t="s">
        <v>666</v>
      </c>
      <c r="B159" t="s">
        <v>666</v>
      </c>
      <c r="C159" t="s">
        <v>665</v>
      </c>
      <c r="G159" t="s">
        <v>11</v>
      </c>
    </row>
    <row r="160" spans="1:7" x14ac:dyDescent="0.25">
      <c r="A160" t="s">
        <v>667</v>
      </c>
      <c r="B160" t="s">
        <v>667</v>
      </c>
      <c r="C160" t="s">
        <v>661</v>
      </c>
      <c r="D160" t="s">
        <v>691</v>
      </c>
      <c r="G160" t="s">
        <v>11</v>
      </c>
    </row>
    <row r="161" spans="1:7" x14ac:dyDescent="0.25">
      <c r="A161" t="s">
        <v>668</v>
      </c>
      <c r="B161" t="s">
        <v>668</v>
      </c>
      <c r="C161" t="s">
        <v>685</v>
      </c>
      <c r="D161" t="s">
        <v>672</v>
      </c>
      <c r="G161" t="s">
        <v>11</v>
      </c>
    </row>
    <row r="162" spans="1:7" x14ac:dyDescent="0.25">
      <c r="A162" t="s">
        <v>669</v>
      </c>
      <c r="B162" t="s">
        <v>669</v>
      </c>
      <c r="C162" t="s">
        <v>667</v>
      </c>
      <c r="G162" t="s">
        <v>11</v>
      </c>
    </row>
    <row r="163" spans="1:7" x14ac:dyDescent="0.25">
      <c r="A163" t="s">
        <v>670</v>
      </c>
      <c r="B163" t="s">
        <v>670</v>
      </c>
      <c r="C163" t="s">
        <v>685</v>
      </c>
      <c r="D163" t="s">
        <v>684</v>
      </c>
      <c r="G163" t="s">
        <v>11</v>
      </c>
    </row>
    <row r="164" spans="1:7" x14ac:dyDescent="0.25">
      <c r="A164" t="s">
        <v>671</v>
      </c>
      <c r="B164" t="s">
        <v>671</v>
      </c>
      <c r="C164" t="s">
        <v>673</v>
      </c>
      <c r="G164" t="s">
        <v>11</v>
      </c>
    </row>
    <row r="165" spans="1:7" x14ac:dyDescent="0.25">
      <c r="A165" t="s">
        <v>672</v>
      </c>
      <c r="B165" t="s">
        <v>672</v>
      </c>
      <c r="C165" t="s">
        <v>668</v>
      </c>
      <c r="G165" t="s">
        <v>11</v>
      </c>
    </row>
    <row r="166" spans="1:7" x14ac:dyDescent="0.25">
      <c r="A166" t="s">
        <v>673</v>
      </c>
      <c r="B166" t="s">
        <v>673</v>
      </c>
      <c r="C166" t="s">
        <v>679</v>
      </c>
      <c r="D166" t="s">
        <v>692</v>
      </c>
      <c r="G166" t="s">
        <v>11</v>
      </c>
    </row>
    <row r="167" spans="1:7" x14ac:dyDescent="0.25">
      <c r="A167" t="s">
        <v>674</v>
      </c>
      <c r="B167" t="s">
        <v>674</v>
      </c>
      <c r="C167" t="s">
        <v>687</v>
      </c>
      <c r="D167" t="s">
        <v>681</v>
      </c>
      <c r="G167" t="s">
        <v>11</v>
      </c>
    </row>
    <row r="168" spans="1:7" x14ac:dyDescent="0.25">
      <c r="A168" t="s">
        <v>675</v>
      </c>
      <c r="B168" t="s">
        <v>687</v>
      </c>
      <c r="C168" t="s">
        <v>69</v>
      </c>
      <c r="D168" t="s">
        <v>689</v>
      </c>
      <c r="G168" t="s">
        <v>11</v>
      </c>
    </row>
    <row r="169" spans="1:7" x14ac:dyDescent="0.25">
      <c r="A169" t="s">
        <v>676</v>
      </c>
      <c r="B169" t="s">
        <v>676</v>
      </c>
      <c r="C169" t="s">
        <v>685</v>
      </c>
      <c r="G169" t="s">
        <v>11</v>
      </c>
    </row>
    <row r="170" spans="1:7" x14ac:dyDescent="0.25">
      <c r="A170" t="s">
        <v>677</v>
      </c>
      <c r="B170" t="s">
        <v>677</v>
      </c>
      <c r="C170" t="s">
        <v>687</v>
      </c>
      <c r="G170" t="s">
        <v>11</v>
      </c>
    </row>
    <row r="171" spans="1:7" x14ac:dyDescent="0.25">
      <c r="A171" t="s">
        <v>678</v>
      </c>
      <c r="B171" t="s">
        <v>678</v>
      </c>
      <c r="C171" t="s">
        <v>687</v>
      </c>
      <c r="G171" t="s">
        <v>11</v>
      </c>
    </row>
    <row r="172" spans="1:7" x14ac:dyDescent="0.25">
      <c r="A172" t="s">
        <v>679</v>
      </c>
      <c r="B172" t="s">
        <v>679</v>
      </c>
      <c r="C172" t="s">
        <v>687</v>
      </c>
      <c r="D172" t="s">
        <v>673</v>
      </c>
      <c r="G172" t="s">
        <v>11</v>
      </c>
    </row>
    <row r="173" spans="1:7" x14ac:dyDescent="0.25">
      <c r="A173" t="s">
        <v>680</v>
      </c>
      <c r="B173" t="s">
        <v>680</v>
      </c>
      <c r="C173" t="s">
        <v>661</v>
      </c>
      <c r="G173" t="s">
        <v>11</v>
      </c>
    </row>
    <row r="174" spans="1:7" x14ac:dyDescent="0.25">
      <c r="A174" t="s">
        <v>681</v>
      </c>
      <c r="B174" t="s">
        <v>681</v>
      </c>
      <c r="C174" t="s">
        <v>674</v>
      </c>
      <c r="G174" t="s">
        <v>11</v>
      </c>
    </row>
    <row r="175" spans="1:7" x14ac:dyDescent="0.25">
      <c r="A175" t="s">
        <v>682</v>
      </c>
      <c r="B175" t="s">
        <v>682</v>
      </c>
      <c r="C175" t="s">
        <v>667</v>
      </c>
      <c r="G175" t="s">
        <v>11</v>
      </c>
    </row>
    <row r="176" spans="1:7" x14ac:dyDescent="0.25">
      <c r="A176" t="s">
        <v>683</v>
      </c>
      <c r="B176" t="s">
        <v>683</v>
      </c>
      <c r="C176" t="s">
        <v>687</v>
      </c>
      <c r="G176" t="s">
        <v>11</v>
      </c>
    </row>
    <row r="177" spans="1:7" x14ac:dyDescent="0.25">
      <c r="A177" t="s">
        <v>684</v>
      </c>
      <c r="B177" t="s">
        <v>684</v>
      </c>
      <c r="C177" t="s">
        <v>670</v>
      </c>
      <c r="G177" t="s">
        <v>11</v>
      </c>
    </row>
    <row r="178" spans="1:7" x14ac:dyDescent="0.25">
      <c r="A178" t="s">
        <v>685</v>
      </c>
      <c r="B178" t="s">
        <v>685</v>
      </c>
      <c r="C178" t="s">
        <v>673</v>
      </c>
      <c r="D178" t="s">
        <v>693</v>
      </c>
      <c r="G178" t="s">
        <v>11</v>
      </c>
    </row>
    <row r="179" spans="1:7" x14ac:dyDescent="0.25">
      <c r="A179" t="s">
        <v>686</v>
      </c>
      <c r="B179" t="s">
        <v>686</v>
      </c>
      <c r="C179" t="s">
        <v>687</v>
      </c>
      <c r="G179" t="s">
        <v>11</v>
      </c>
    </row>
  </sheetData>
  <phoneticPr fontId="1" type="noConversion"/>
  <conditionalFormatting sqref="G2:G179">
    <cfRule type="containsBlanks" dxfId="3" priority="1">
      <formula>LEN(TRIM(G2))=0</formula>
    </cfRule>
    <cfRule type="notContainsBlanks" dxfId="2" priority="2">
      <formula>LEN(TRIM(G2))&gt;0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5"/>
  <sheetViews>
    <sheetView workbookViewId="0">
      <pane ySplit="1" topLeftCell="A2" activePane="bottomLeft" state="frozen"/>
      <selection pane="bottomLeft" activeCell="A2" sqref="A2:A15"/>
    </sheetView>
  </sheetViews>
  <sheetFormatPr defaultRowHeight="15" x14ac:dyDescent="0.25"/>
  <cols>
    <col min="1" max="1" width="13.42578125" customWidth="1"/>
    <col min="2" max="2" width="28.140625" customWidth="1"/>
    <col min="3" max="3" width="13.42578125" customWidth="1"/>
    <col min="4" max="5" width="39.85546875" customWidth="1"/>
    <col min="6" max="6" width="18.140625" customWidth="1"/>
  </cols>
  <sheetData>
    <row r="1" spans="1:8" x14ac:dyDescent="0.25">
      <c r="A1" t="s">
        <v>0</v>
      </c>
      <c r="B1" t="s">
        <v>1</v>
      </c>
      <c r="C1" t="s">
        <v>4</v>
      </c>
      <c r="D1" t="s">
        <v>5</v>
      </c>
      <c r="E1" t="s">
        <v>74</v>
      </c>
      <c r="F1" t="s">
        <v>778</v>
      </c>
      <c r="G1" t="s">
        <v>780</v>
      </c>
      <c r="H1" t="s">
        <v>12</v>
      </c>
    </row>
    <row r="2" spans="1:8" x14ac:dyDescent="0.25">
      <c r="A2" t="s">
        <v>10</v>
      </c>
      <c r="B2" t="s">
        <v>777</v>
      </c>
      <c r="D2" t="s">
        <v>779</v>
      </c>
      <c r="H2" t="s">
        <v>11</v>
      </c>
    </row>
    <row r="3" spans="1:8" x14ac:dyDescent="0.25">
      <c r="A3" t="s">
        <v>694</v>
      </c>
      <c r="H3" t="s">
        <v>11</v>
      </c>
    </row>
    <row r="4" spans="1:8" x14ac:dyDescent="0.25">
      <c r="A4" t="s">
        <v>695</v>
      </c>
      <c r="D4" t="s">
        <v>799</v>
      </c>
      <c r="E4" t="s">
        <v>801</v>
      </c>
      <c r="H4" t="s">
        <v>11</v>
      </c>
    </row>
    <row r="5" spans="1:8" x14ac:dyDescent="0.25">
      <c r="A5" t="s">
        <v>696</v>
      </c>
      <c r="D5" t="s">
        <v>782</v>
      </c>
      <c r="E5" t="s">
        <v>782</v>
      </c>
      <c r="H5" t="s">
        <v>11</v>
      </c>
    </row>
    <row r="6" spans="1:8" x14ac:dyDescent="0.25">
      <c r="A6" t="s">
        <v>697</v>
      </c>
      <c r="D6" t="s">
        <v>800</v>
      </c>
      <c r="E6" t="s">
        <v>800</v>
      </c>
      <c r="H6" t="s">
        <v>11</v>
      </c>
    </row>
    <row r="7" spans="1:8" x14ac:dyDescent="0.25">
      <c r="A7" t="s">
        <v>698</v>
      </c>
      <c r="D7" t="s">
        <v>781</v>
      </c>
      <c r="E7" t="s">
        <v>781</v>
      </c>
      <c r="H7" t="s">
        <v>11</v>
      </c>
    </row>
    <row r="8" spans="1:8" x14ac:dyDescent="0.25">
      <c r="A8" t="s">
        <v>793</v>
      </c>
      <c r="D8" t="s">
        <v>795</v>
      </c>
      <c r="E8" t="s">
        <v>795</v>
      </c>
      <c r="H8" t="s">
        <v>11</v>
      </c>
    </row>
    <row r="9" spans="1:8" x14ac:dyDescent="0.25">
      <c r="A9" t="s">
        <v>794</v>
      </c>
      <c r="D9" t="s">
        <v>797</v>
      </c>
      <c r="E9" t="s">
        <v>797</v>
      </c>
      <c r="H9" t="s">
        <v>11</v>
      </c>
    </row>
    <row r="10" spans="1:8" x14ac:dyDescent="0.25">
      <c r="A10" t="s">
        <v>781</v>
      </c>
      <c r="D10" t="s">
        <v>796</v>
      </c>
      <c r="H10" t="s">
        <v>11</v>
      </c>
    </row>
    <row r="11" spans="1:8" x14ac:dyDescent="0.25">
      <c r="A11" t="s">
        <v>795</v>
      </c>
      <c r="H11" t="s">
        <v>11</v>
      </c>
    </row>
    <row r="12" spans="1:8" x14ac:dyDescent="0.25">
      <c r="A12" t="s">
        <v>796</v>
      </c>
      <c r="H12" t="s">
        <v>11</v>
      </c>
    </row>
    <row r="13" spans="1:8" x14ac:dyDescent="0.25">
      <c r="A13" t="s">
        <v>782</v>
      </c>
      <c r="D13" t="s">
        <v>798</v>
      </c>
      <c r="H13" t="s">
        <v>11</v>
      </c>
    </row>
    <row r="14" spans="1:8" x14ac:dyDescent="0.25">
      <c r="A14" t="s">
        <v>797</v>
      </c>
      <c r="H14" t="s">
        <v>11</v>
      </c>
    </row>
    <row r="15" spans="1:8" x14ac:dyDescent="0.25">
      <c r="A15" t="s">
        <v>798</v>
      </c>
      <c r="H15" t="s">
        <v>11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58076-C214-41D6-BCD6-F667F1858984}">
  <dimension ref="A1:I15"/>
  <sheetViews>
    <sheetView workbookViewId="0">
      <pane ySplit="1" topLeftCell="A2" activePane="bottomLeft" state="frozen"/>
      <selection pane="bottomLeft" activeCell="A2" sqref="A2:A15"/>
    </sheetView>
  </sheetViews>
  <sheetFormatPr defaultRowHeight="15" x14ac:dyDescent="0.25"/>
  <cols>
    <col min="1" max="1" width="30" customWidth="1"/>
    <col min="2" max="2" width="28.140625" customWidth="1"/>
    <col min="3" max="3" width="14.5703125" customWidth="1"/>
    <col min="4" max="4" width="119.5703125" customWidth="1"/>
    <col min="5" max="5" width="18.5703125" customWidth="1"/>
    <col min="6" max="6" width="18.140625" customWidth="1"/>
    <col min="7" max="7" width="13.5703125" customWidth="1"/>
  </cols>
  <sheetData>
    <row r="1" spans="1:9" x14ac:dyDescent="0.25">
      <c r="A1" t="s">
        <v>0</v>
      </c>
      <c r="B1" t="s">
        <v>1</v>
      </c>
      <c r="C1" t="s">
        <v>4</v>
      </c>
      <c r="D1" t="s">
        <v>5</v>
      </c>
      <c r="E1" t="s">
        <v>74</v>
      </c>
      <c r="F1" t="s">
        <v>778</v>
      </c>
      <c r="G1" t="s">
        <v>780</v>
      </c>
      <c r="H1" t="s">
        <v>12</v>
      </c>
    </row>
    <row r="2" spans="1:9" x14ac:dyDescent="0.25">
      <c r="A2" t="s">
        <v>775</v>
      </c>
      <c r="B2" t="s">
        <v>776</v>
      </c>
      <c r="D2" t="s">
        <v>792</v>
      </c>
      <c r="E2" t="s">
        <v>791</v>
      </c>
      <c r="I2" t="s">
        <v>11</v>
      </c>
    </row>
    <row r="3" spans="1:9" x14ac:dyDescent="0.25">
      <c r="A3" t="s">
        <v>783</v>
      </c>
      <c r="I3" t="s">
        <v>11</v>
      </c>
    </row>
    <row r="4" spans="1:9" x14ac:dyDescent="0.25">
      <c r="A4" t="s">
        <v>784</v>
      </c>
      <c r="I4" t="s">
        <v>11</v>
      </c>
    </row>
    <row r="5" spans="1:9" x14ac:dyDescent="0.25">
      <c r="A5" t="s">
        <v>785</v>
      </c>
      <c r="I5" t="s">
        <v>11</v>
      </c>
    </row>
    <row r="6" spans="1:9" x14ac:dyDescent="0.25">
      <c r="A6" t="s">
        <v>786</v>
      </c>
      <c r="I6" t="s">
        <v>11</v>
      </c>
    </row>
    <row r="7" spans="1:9" x14ac:dyDescent="0.25">
      <c r="A7" t="s">
        <v>787</v>
      </c>
      <c r="I7" t="s">
        <v>11</v>
      </c>
    </row>
    <row r="8" spans="1:9" x14ac:dyDescent="0.25">
      <c r="A8" t="s">
        <v>699</v>
      </c>
      <c r="D8" t="s">
        <v>788</v>
      </c>
      <c r="I8" t="s">
        <v>11</v>
      </c>
    </row>
    <row r="9" spans="1:9" x14ac:dyDescent="0.25">
      <c r="A9" t="s">
        <v>788</v>
      </c>
      <c r="D9" t="s">
        <v>897</v>
      </c>
      <c r="I9" t="s">
        <v>11</v>
      </c>
    </row>
    <row r="10" spans="1:9" x14ac:dyDescent="0.25">
      <c r="A10" t="s">
        <v>838</v>
      </c>
      <c r="I10" t="s">
        <v>11</v>
      </c>
    </row>
    <row r="11" spans="1:9" x14ac:dyDescent="0.25">
      <c r="A11" t="s">
        <v>789</v>
      </c>
      <c r="I11" t="s">
        <v>11</v>
      </c>
    </row>
    <row r="12" spans="1:9" x14ac:dyDescent="0.25">
      <c r="A12" t="s">
        <v>790</v>
      </c>
    </row>
    <row r="13" spans="1:9" x14ac:dyDescent="0.25">
      <c r="A13" t="s">
        <v>791</v>
      </c>
      <c r="D13" t="s">
        <v>896</v>
      </c>
    </row>
    <row r="14" spans="1:9" x14ac:dyDescent="0.25">
      <c r="A14" t="s">
        <v>895</v>
      </c>
    </row>
    <row r="15" spans="1:9" x14ac:dyDescent="0.25">
      <c r="A15" t="s">
        <v>898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388E5-F9D8-4148-BF34-9C51095EB628}">
  <dimension ref="A1:I46"/>
  <sheetViews>
    <sheetView workbookViewId="0">
      <selection activeCell="E8" sqref="E8"/>
    </sheetView>
  </sheetViews>
  <sheetFormatPr defaultRowHeight="15" x14ac:dyDescent="0.25"/>
  <cols>
    <col min="1" max="1" width="28.28515625" customWidth="1"/>
    <col min="2" max="3" width="12.140625" customWidth="1"/>
    <col min="4" max="4" width="24.85546875" customWidth="1"/>
    <col min="5" max="5" width="25.42578125" customWidth="1"/>
    <col min="6" max="6" width="36.7109375" customWidth="1"/>
    <col min="7" max="7" width="26.5703125" customWidth="1"/>
    <col min="8" max="9" width="9.140625" hidden="1" customWidth="1"/>
    <col min="10" max="10" width="27" customWidth="1"/>
  </cols>
  <sheetData>
    <row r="1" spans="1:7" x14ac:dyDescent="0.25">
      <c r="A1" t="s">
        <v>858</v>
      </c>
      <c r="B1" t="s">
        <v>802</v>
      </c>
      <c r="C1" t="s">
        <v>803</v>
      </c>
      <c r="D1" t="s">
        <v>815</v>
      </c>
      <c r="E1" s="2" t="s">
        <v>816</v>
      </c>
      <c r="F1" t="s">
        <v>909</v>
      </c>
      <c r="G1" t="s">
        <v>910</v>
      </c>
    </row>
    <row r="2" spans="1:7" x14ac:dyDescent="0.25">
      <c r="A2" t="s">
        <v>63</v>
      </c>
      <c r="B2">
        <v>4</v>
      </c>
      <c r="D2" t="s">
        <v>804</v>
      </c>
      <c r="E2" s="2" t="s">
        <v>817</v>
      </c>
      <c r="F2">
        <v>4</v>
      </c>
      <c r="G2" t="s">
        <v>911</v>
      </c>
    </row>
    <row r="3" spans="1:7" x14ac:dyDescent="0.25">
      <c r="A3" t="s">
        <v>79</v>
      </c>
      <c r="B3">
        <v>6</v>
      </c>
      <c r="D3" t="s">
        <v>805</v>
      </c>
      <c r="E3" s="2" t="s">
        <v>817</v>
      </c>
      <c r="F3">
        <v>6</v>
      </c>
      <c r="G3" t="s">
        <v>911</v>
      </c>
    </row>
    <row r="4" spans="1:7" x14ac:dyDescent="0.25">
      <c r="A4" t="s">
        <v>859</v>
      </c>
      <c r="B4">
        <v>9</v>
      </c>
      <c r="D4" t="s">
        <v>882</v>
      </c>
      <c r="E4" s="2"/>
      <c r="F4">
        <v>9</v>
      </c>
      <c r="G4" t="s">
        <v>825</v>
      </c>
    </row>
    <row r="5" spans="1:7" x14ac:dyDescent="0.25">
      <c r="A5" t="s">
        <v>763</v>
      </c>
      <c r="B5">
        <v>14</v>
      </c>
      <c r="D5" t="s">
        <v>830</v>
      </c>
      <c r="E5" s="2" t="s">
        <v>817</v>
      </c>
      <c r="F5">
        <v>14</v>
      </c>
      <c r="G5" t="s">
        <v>911</v>
      </c>
    </row>
    <row r="6" spans="1:7" x14ac:dyDescent="0.25">
      <c r="A6" t="s">
        <v>860</v>
      </c>
      <c r="B6">
        <v>15</v>
      </c>
      <c r="D6" t="s">
        <v>881</v>
      </c>
      <c r="E6" s="2"/>
      <c r="F6">
        <v>15</v>
      </c>
      <c r="G6" t="s">
        <v>826</v>
      </c>
    </row>
    <row r="7" spans="1:7" x14ac:dyDescent="0.25">
      <c r="A7" t="s">
        <v>861</v>
      </c>
      <c r="B7">
        <v>16</v>
      </c>
      <c r="D7" t="s">
        <v>883</v>
      </c>
      <c r="E7" s="2"/>
      <c r="F7">
        <v>16</v>
      </c>
      <c r="G7" t="s">
        <v>823</v>
      </c>
    </row>
    <row r="8" spans="1:7" x14ac:dyDescent="0.25">
      <c r="A8" t="s">
        <v>806</v>
      </c>
      <c r="B8">
        <v>18</v>
      </c>
      <c r="D8" t="s">
        <v>806</v>
      </c>
      <c r="E8" s="2" t="s">
        <v>841</v>
      </c>
      <c r="F8">
        <v>18</v>
      </c>
      <c r="G8" t="s">
        <v>912</v>
      </c>
    </row>
    <row r="9" spans="1:7" x14ac:dyDescent="0.25">
      <c r="A9" t="s">
        <v>808</v>
      </c>
      <c r="B9">
        <v>20</v>
      </c>
      <c r="D9" t="s">
        <v>808</v>
      </c>
      <c r="E9" s="2" t="s">
        <v>818</v>
      </c>
      <c r="F9">
        <v>20</v>
      </c>
      <c r="G9" t="s">
        <v>912</v>
      </c>
    </row>
    <row r="10" spans="1:7" x14ac:dyDescent="0.25">
      <c r="A10" t="s">
        <v>862</v>
      </c>
      <c r="B10">
        <v>21</v>
      </c>
      <c r="D10" t="s">
        <v>884</v>
      </c>
      <c r="E10" s="2"/>
      <c r="F10">
        <v>21</v>
      </c>
      <c r="G10" t="s">
        <v>827</v>
      </c>
    </row>
    <row r="11" spans="1:7" x14ac:dyDescent="0.25">
      <c r="A11" t="s">
        <v>807</v>
      </c>
      <c r="B11">
        <v>24</v>
      </c>
      <c r="D11" t="s">
        <v>807</v>
      </c>
      <c r="E11" s="2" t="s">
        <v>807</v>
      </c>
      <c r="F11">
        <v>24</v>
      </c>
      <c r="G11" t="s">
        <v>835</v>
      </c>
    </row>
    <row r="12" spans="1:7" x14ac:dyDescent="0.25">
      <c r="A12" t="s">
        <v>809</v>
      </c>
      <c r="B12">
        <v>25</v>
      </c>
      <c r="D12" t="s">
        <v>809</v>
      </c>
      <c r="E12" s="2" t="s">
        <v>819</v>
      </c>
      <c r="F12">
        <v>25</v>
      </c>
      <c r="G12" t="s">
        <v>912</v>
      </c>
    </row>
    <row r="13" spans="1:7" x14ac:dyDescent="0.25">
      <c r="A13" t="s">
        <v>810</v>
      </c>
      <c r="B13">
        <v>26</v>
      </c>
      <c r="D13" t="s">
        <v>810</v>
      </c>
      <c r="E13" s="2" t="s">
        <v>820</v>
      </c>
      <c r="F13">
        <v>26</v>
      </c>
      <c r="G13" t="s">
        <v>912</v>
      </c>
    </row>
    <row r="14" spans="1:7" x14ac:dyDescent="0.25">
      <c r="A14" t="s">
        <v>863</v>
      </c>
      <c r="B14">
        <v>27</v>
      </c>
      <c r="D14" t="s">
        <v>885</v>
      </c>
      <c r="E14" s="2"/>
      <c r="F14">
        <v>27</v>
      </c>
      <c r="G14" t="s">
        <v>826</v>
      </c>
    </row>
    <row r="15" spans="1:7" x14ac:dyDescent="0.25">
      <c r="A15" t="s">
        <v>864</v>
      </c>
      <c r="B15">
        <v>28</v>
      </c>
      <c r="D15" t="s">
        <v>886</v>
      </c>
      <c r="E15" s="2"/>
      <c r="F15">
        <v>28</v>
      </c>
      <c r="G15" t="s">
        <v>824</v>
      </c>
    </row>
    <row r="16" spans="1:7" x14ac:dyDescent="0.25">
      <c r="A16" t="s">
        <v>811</v>
      </c>
      <c r="B16">
        <v>30</v>
      </c>
      <c r="D16" t="s">
        <v>811</v>
      </c>
      <c r="E16" s="2" t="s">
        <v>811</v>
      </c>
      <c r="F16">
        <v>30</v>
      </c>
      <c r="G16" t="s">
        <v>834</v>
      </c>
    </row>
    <row r="17" spans="1:7" x14ac:dyDescent="0.25">
      <c r="A17" t="s">
        <v>812</v>
      </c>
      <c r="B17">
        <v>32</v>
      </c>
      <c r="D17" t="s">
        <v>812</v>
      </c>
      <c r="E17" s="2" t="s">
        <v>842</v>
      </c>
      <c r="F17">
        <v>32</v>
      </c>
      <c r="G17" t="s">
        <v>912</v>
      </c>
    </row>
    <row r="18" spans="1:7" x14ac:dyDescent="0.25">
      <c r="A18" t="s">
        <v>813</v>
      </c>
      <c r="B18">
        <v>35</v>
      </c>
      <c r="D18" t="s">
        <v>887</v>
      </c>
      <c r="E18" s="2"/>
      <c r="F18">
        <v>35</v>
      </c>
      <c r="G18" t="s">
        <v>839</v>
      </c>
    </row>
    <row r="19" spans="1:7" x14ac:dyDescent="0.25">
      <c r="A19" t="s">
        <v>814</v>
      </c>
      <c r="B19">
        <v>37</v>
      </c>
      <c r="D19" t="s">
        <v>888</v>
      </c>
      <c r="E19" s="2"/>
      <c r="F19">
        <v>37</v>
      </c>
      <c r="G19" t="s">
        <v>836</v>
      </c>
    </row>
    <row r="20" spans="1:7" x14ac:dyDescent="0.25">
      <c r="A20" t="s">
        <v>865</v>
      </c>
      <c r="B20">
        <v>40</v>
      </c>
      <c r="D20" t="s">
        <v>890</v>
      </c>
      <c r="E20" s="2"/>
      <c r="F20">
        <v>40</v>
      </c>
      <c r="G20" t="s">
        <v>837</v>
      </c>
    </row>
    <row r="21" spans="1:7" x14ac:dyDescent="0.25">
      <c r="A21" t="s">
        <v>866</v>
      </c>
      <c r="B21">
        <v>42</v>
      </c>
      <c r="D21" t="s">
        <v>889</v>
      </c>
      <c r="E21" s="2"/>
      <c r="F21">
        <v>42</v>
      </c>
      <c r="G21" t="s">
        <v>840</v>
      </c>
    </row>
    <row r="22" spans="1:7" x14ac:dyDescent="0.25">
      <c r="A22" t="s">
        <v>867</v>
      </c>
      <c r="B22">
        <v>43</v>
      </c>
      <c r="D22" t="s">
        <v>891</v>
      </c>
      <c r="E22" s="2"/>
      <c r="F22">
        <v>43</v>
      </c>
      <c r="G22" t="s">
        <v>899</v>
      </c>
    </row>
    <row r="23" spans="1:7" x14ac:dyDescent="0.25">
      <c r="A23" t="s">
        <v>868</v>
      </c>
      <c r="B23">
        <v>44</v>
      </c>
      <c r="D23" t="s">
        <v>892</v>
      </c>
      <c r="E23" s="2"/>
      <c r="F23">
        <v>44</v>
      </c>
      <c r="G23" t="s">
        <v>900</v>
      </c>
    </row>
    <row r="24" spans="1:7" x14ac:dyDescent="0.25">
      <c r="A24" t="s">
        <v>869</v>
      </c>
      <c r="B24">
        <v>45</v>
      </c>
      <c r="D24" t="s">
        <v>893</v>
      </c>
      <c r="E24" s="2"/>
      <c r="F24">
        <v>45</v>
      </c>
      <c r="G24" t="s">
        <v>901</v>
      </c>
    </row>
    <row r="25" spans="1:7" x14ac:dyDescent="0.25">
      <c r="A25" t="s">
        <v>870</v>
      </c>
      <c r="B25">
        <v>46</v>
      </c>
      <c r="D25" t="s">
        <v>894</v>
      </c>
      <c r="E25" s="2"/>
      <c r="F25">
        <v>46</v>
      </c>
      <c r="G25" t="s">
        <v>902</v>
      </c>
    </row>
    <row r="26" spans="1:7" x14ac:dyDescent="0.25">
      <c r="A26" t="s">
        <v>871</v>
      </c>
      <c r="C26" t="s">
        <v>821</v>
      </c>
      <c r="D26" t="s">
        <v>829</v>
      </c>
      <c r="E26" t="s">
        <v>817</v>
      </c>
    </row>
    <row r="27" spans="1:7" x14ac:dyDescent="0.25">
      <c r="A27" t="s">
        <v>872</v>
      </c>
      <c r="C27" t="s">
        <v>822</v>
      </c>
      <c r="D27" t="s">
        <v>830</v>
      </c>
      <c r="E27" t="s">
        <v>817</v>
      </c>
    </row>
    <row r="28" spans="1:7" x14ac:dyDescent="0.25">
      <c r="A28" t="s">
        <v>861</v>
      </c>
      <c r="C28" t="s">
        <v>823</v>
      </c>
      <c r="D28" t="s">
        <v>905</v>
      </c>
    </row>
    <row r="29" spans="1:7" x14ac:dyDescent="0.25">
      <c r="A29" t="s">
        <v>877</v>
      </c>
      <c r="C29" t="s">
        <v>824</v>
      </c>
      <c r="D29" t="s">
        <v>906</v>
      </c>
    </row>
    <row r="30" spans="1:7" x14ac:dyDescent="0.25">
      <c r="A30" t="s">
        <v>873</v>
      </c>
      <c r="C30" t="s">
        <v>825</v>
      </c>
      <c r="D30" t="s">
        <v>907</v>
      </c>
    </row>
    <row r="31" spans="1:7" x14ac:dyDescent="0.25">
      <c r="A31" t="s">
        <v>874</v>
      </c>
      <c r="C31" t="s">
        <v>826</v>
      </c>
      <c r="D31" t="s">
        <v>881</v>
      </c>
    </row>
    <row r="32" spans="1:7" x14ac:dyDescent="0.25">
      <c r="A32" t="s">
        <v>875</v>
      </c>
      <c r="C32" t="s">
        <v>827</v>
      </c>
      <c r="D32" t="s">
        <v>908</v>
      </c>
    </row>
    <row r="33" spans="1:5" x14ac:dyDescent="0.25">
      <c r="A33" t="s">
        <v>876</v>
      </c>
      <c r="C33" t="s">
        <v>828</v>
      </c>
      <c r="D33" t="s">
        <v>885</v>
      </c>
    </row>
    <row r="34" spans="1:5" x14ac:dyDescent="0.25">
      <c r="A34" t="s">
        <v>820</v>
      </c>
      <c r="C34" t="s">
        <v>831</v>
      </c>
      <c r="D34" t="s">
        <v>820</v>
      </c>
      <c r="E34" t="s">
        <v>820</v>
      </c>
    </row>
    <row r="35" spans="1:5" x14ac:dyDescent="0.25">
      <c r="A35" t="s">
        <v>820</v>
      </c>
      <c r="C35" t="s">
        <v>832</v>
      </c>
      <c r="D35" t="s">
        <v>820</v>
      </c>
      <c r="E35" t="s">
        <v>820</v>
      </c>
    </row>
    <row r="36" spans="1:5" x14ac:dyDescent="0.25">
      <c r="A36" t="s">
        <v>820</v>
      </c>
      <c r="C36" t="s">
        <v>833</v>
      </c>
      <c r="D36" t="s">
        <v>820</v>
      </c>
      <c r="E36" t="s">
        <v>820</v>
      </c>
    </row>
    <row r="37" spans="1:5" x14ac:dyDescent="0.25">
      <c r="A37" t="s">
        <v>811</v>
      </c>
      <c r="C37" t="s">
        <v>834</v>
      </c>
      <c r="D37" t="s">
        <v>811</v>
      </c>
      <c r="E37" t="s">
        <v>811</v>
      </c>
    </row>
    <row r="38" spans="1:5" x14ac:dyDescent="0.25">
      <c r="A38" t="s">
        <v>807</v>
      </c>
      <c r="C38" t="s">
        <v>835</v>
      </c>
      <c r="D38" t="s">
        <v>807</v>
      </c>
      <c r="E38" t="s">
        <v>807</v>
      </c>
    </row>
    <row r="39" spans="1:5" x14ac:dyDescent="0.25">
      <c r="A39" t="s">
        <v>813</v>
      </c>
      <c r="C39" t="s">
        <v>839</v>
      </c>
      <c r="D39" t="s">
        <v>813</v>
      </c>
    </row>
    <row r="40" spans="1:5" x14ac:dyDescent="0.25">
      <c r="A40" t="s">
        <v>814</v>
      </c>
      <c r="C40" t="s">
        <v>836</v>
      </c>
      <c r="D40" t="s">
        <v>814</v>
      </c>
    </row>
    <row r="41" spans="1:5" x14ac:dyDescent="0.25">
      <c r="A41" t="s">
        <v>903</v>
      </c>
      <c r="C41" t="s">
        <v>837</v>
      </c>
      <c r="D41" t="s">
        <v>890</v>
      </c>
    </row>
    <row r="42" spans="1:5" x14ac:dyDescent="0.25">
      <c r="A42" t="s">
        <v>866</v>
      </c>
      <c r="C42" t="s">
        <v>840</v>
      </c>
      <c r="D42" t="s">
        <v>889</v>
      </c>
    </row>
    <row r="43" spans="1:5" x14ac:dyDescent="0.25">
      <c r="A43" t="s">
        <v>878</v>
      </c>
      <c r="C43" t="s">
        <v>899</v>
      </c>
      <c r="D43" t="s">
        <v>904</v>
      </c>
    </row>
    <row r="44" spans="1:5" x14ac:dyDescent="0.25">
      <c r="A44" t="s">
        <v>868</v>
      </c>
      <c r="C44" t="s">
        <v>900</v>
      </c>
      <c r="D44" t="s">
        <v>892</v>
      </c>
    </row>
    <row r="45" spans="1:5" x14ac:dyDescent="0.25">
      <c r="A45" t="s">
        <v>879</v>
      </c>
      <c r="C45" t="s">
        <v>901</v>
      </c>
      <c r="D45" t="s">
        <v>893</v>
      </c>
    </row>
    <row r="46" spans="1:5" x14ac:dyDescent="0.25">
      <c r="A46" t="s">
        <v>880</v>
      </c>
      <c r="C46" t="s">
        <v>902</v>
      </c>
      <c r="D46" t="s">
        <v>894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5A280-B941-4509-8B0A-1E2E1E43C816}">
  <dimension ref="A1:K20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E19" sqref="E19"/>
    </sheetView>
  </sheetViews>
  <sheetFormatPr defaultRowHeight="15" x14ac:dyDescent="0.25"/>
  <cols>
    <col min="1" max="1" width="39.28515625" customWidth="1"/>
    <col min="2" max="2" width="20.42578125" customWidth="1"/>
    <col min="3" max="3" width="21.28515625" customWidth="1"/>
    <col min="4" max="4" width="30.140625" customWidth="1"/>
    <col min="5" max="7" width="18.7109375" customWidth="1"/>
    <col min="8" max="8" width="15.42578125" customWidth="1"/>
    <col min="9" max="9" width="23.85546875" customWidth="1"/>
    <col min="10" max="10" width="13.28515625" customWidth="1"/>
    <col min="11" max="11" width="13.5703125" customWidth="1"/>
  </cols>
  <sheetData>
    <row r="1" spans="1:11" x14ac:dyDescent="0.25">
      <c r="A1" s="3" t="s">
        <v>843</v>
      </c>
      <c r="B1" s="3" t="s">
        <v>849</v>
      </c>
      <c r="C1" s="3" t="s">
        <v>850</v>
      </c>
      <c r="D1" s="3" t="s">
        <v>854</v>
      </c>
      <c r="E1" s="3" t="s">
        <v>855</v>
      </c>
      <c r="F1" s="3" t="s">
        <v>923</v>
      </c>
      <c r="G1" s="3" t="s">
        <v>922</v>
      </c>
      <c r="H1" s="1" t="s">
        <v>851</v>
      </c>
      <c r="I1" s="1" t="s">
        <v>852</v>
      </c>
      <c r="K1" s="4" t="s">
        <v>853</v>
      </c>
    </row>
    <row r="2" spans="1:11" x14ac:dyDescent="0.25">
      <c r="A2" t="s">
        <v>817</v>
      </c>
      <c r="B2">
        <v>1.2</v>
      </c>
      <c r="C2">
        <v>12</v>
      </c>
      <c r="D2">
        <f>($H$2*B2)/($I$2*C2)</f>
        <v>8.1538461538461532E-2</v>
      </c>
      <c r="E2" s="5">
        <f>D2*60</f>
        <v>4.8923076923076918</v>
      </c>
      <c r="F2" s="6"/>
      <c r="G2" s="6"/>
      <c r="H2">
        <v>5300</v>
      </c>
      <c r="I2">
        <v>6500</v>
      </c>
      <c r="K2" t="s">
        <v>856</v>
      </c>
    </row>
    <row r="3" spans="1:11" x14ac:dyDescent="0.25">
      <c r="A3" t="s">
        <v>844</v>
      </c>
      <c r="B3">
        <v>3.8</v>
      </c>
      <c r="C3">
        <v>10</v>
      </c>
      <c r="D3">
        <f t="shared" ref="D3:D18" si="0">($H$2*B3)/($I$2*C3)</f>
        <v>0.30984615384615383</v>
      </c>
      <c r="E3" s="5">
        <f>D3*60 +E11</f>
        <v>37.902510121457489</v>
      </c>
      <c r="F3" s="6"/>
      <c r="G3" s="6"/>
    </row>
    <row r="4" spans="1:11" x14ac:dyDescent="0.25">
      <c r="A4" t="s">
        <v>845</v>
      </c>
      <c r="B4">
        <v>0.6</v>
      </c>
      <c r="C4">
        <v>1</v>
      </c>
      <c r="D4">
        <f t="shared" si="0"/>
        <v>0.48923076923076925</v>
      </c>
      <c r="E4" s="5">
        <f>D4*60</f>
        <v>29.353846153846156</v>
      </c>
      <c r="F4" s="6"/>
      <c r="G4" s="6"/>
      <c r="H4" s="1" t="s">
        <v>920</v>
      </c>
      <c r="I4" s="1" t="s">
        <v>921</v>
      </c>
    </row>
    <row r="5" spans="1:11" x14ac:dyDescent="0.25">
      <c r="A5" t="s">
        <v>818</v>
      </c>
      <c r="B5">
        <v>1</v>
      </c>
      <c r="C5">
        <v>1</v>
      </c>
      <c r="D5">
        <f t="shared" si="0"/>
        <v>0.81538461538461537</v>
      </c>
      <c r="E5" s="5">
        <f>D5*60 +E11</f>
        <v>68.234817813765176</v>
      </c>
      <c r="F5" s="6"/>
      <c r="G5" s="6"/>
      <c r="H5">
        <f>13.87/2</f>
        <v>6.9349999999999996</v>
      </c>
      <c r="I5">
        <f>2.56/2</f>
        <v>1.28</v>
      </c>
    </row>
    <row r="6" spans="1:11" x14ac:dyDescent="0.25">
      <c r="A6" t="s">
        <v>807</v>
      </c>
      <c r="B6">
        <v>2</v>
      </c>
      <c r="C6">
        <v>19</v>
      </c>
      <c r="D6">
        <f t="shared" si="0"/>
        <v>8.5829959514170037E-2</v>
      </c>
      <c r="E6" s="5">
        <f t="shared" ref="E6:E18" si="1">D6*60</f>
        <v>5.1497975708502022</v>
      </c>
      <c r="F6" s="6"/>
      <c r="G6" s="6"/>
      <c r="H6" s="1" t="s">
        <v>925</v>
      </c>
      <c r="I6" s="1" t="s">
        <v>924</v>
      </c>
      <c r="J6" t="s">
        <v>926</v>
      </c>
    </row>
    <row r="7" spans="1:11" x14ac:dyDescent="0.25">
      <c r="A7" t="s">
        <v>819</v>
      </c>
      <c r="B7">
        <v>1.4</v>
      </c>
      <c r="C7">
        <v>3</v>
      </c>
      <c r="D7">
        <f t="shared" si="0"/>
        <v>0.38051282051282048</v>
      </c>
      <c r="E7" s="5">
        <f>D7*60+E11</f>
        <v>42.142510121457491</v>
      </c>
      <c r="F7" s="6"/>
      <c r="G7" s="6"/>
      <c r="H7">
        <v>5.8827999999999996</v>
      </c>
      <c r="I7">
        <v>27.213699999999999</v>
      </c>
    </row>
    <row r="8" spans="1:11" x14ac:dyDescent="0.25">
      <c r="A8" t="s">
        <v>846</v>
      </c>
      <c r="B8">
        <v>2.2000000000000002</v>
      </c>
      <c r="C8">
        <v>4</v>
      </c>
      <c r="D8">
        <f t="shared" si="0"/>
        <v>0.44846153846153852</v>
      </c>
      <c r="E8" s="5">
        <f>D8*60 + E11</f>
        <v>46.219433198380571</v>
      </c>
      <c r="F8" s="6"/>
      <c r="G8" s="6"/>
    </row>
    <row r="9" spans="1:11" x14ac:dyDescent="0.25">
      <c r="A9" t="s">
        <v>811</v>
      </c>
      <c r="B9">
        <v>2</v>
      </c>
      <c r="C9">
        <v>19</v>
      </c>
      <c r="D9">
        <f t="shared" si="0"/>
        <v>8.5829959514170037E-2</v>
      </c>
      <c r="E9" s="5">
        <f t="shared" si="1"/>
        <v>5.1497975708502022</v>
      </c>
      <c r="F9" s="6"/>
      <c r="G9" s="6"/>
    </row>
    <row r="10" spans="1:11" x14ac:dyDescent="0.25">
      <c r="A10" t="s">
        <v>848</v>
      </c>
      <c r="B10">
        <f>10/4</f>
        <v>2.5</v>
      </c>
      <c r="C10">
        <v>6.5</v>
      </c>
      <c r="D10">
        <f t="shared" si="0"/>
        <v>0.31360946745562129</v>
      </c>
      <c r="E10" s="5">
        <f t="shared" si="1"/>
        <v>18.816568047337277</v>
      </c>
      <c r="F10" s="6"/>
      <c r="G10" s="6"/>
      <c r="K10" s="4" t="s">
        <v>857</v>
      </c>
    </row>
    <row r="11" spans="1:11" x14ac:dyDescent="0.25">
      <c r="A11" t="s">
        <v>847</v>
      </c>
      <c r="B11">
        <f>3*10/4</f>
        <v>7.5</v>
      </c>
      <c r="C11">
        <f>25.5-6.5</f>
        <v>19</v>
      </c>
      <c r="D11">
        <f t="shared" si="0"/>
        <v>0.32186234817813764</v>
      </c>
      <c r="E11" s="5">
        <f t="shared" si="1"/>
        <v>19.311740890688259</v>
      </c>
      <c r="F11" s="6"/>
      <c r="G11" s="6"/>
      <c r="K11" s="4"/>
    </row>
    <row r="12" spans="1:11" x14ac:dyDescent="0.25">
      <c r="A12" t="s">
        <v>913</v>
      </c>
      <c r="B12">
        <f>G12*$I$5</f>
        <v>0.16009791255864556</v>
      </c>
      <c r="C12">
        <v>0.43780000000000002</v>
      </c>
      <c r="D12">
        <f t="shared" si="0"/>
        <v>0.29817582196325026</v>
      </c>
      <c r="E12" s="5">
        <f t="shared" si="1"/>
        <v>17.890549317795017</v>
      </c>
      <c r="F12">
        <v>0.73580000000000001</v>
      </c>
      <c r="G12">
        <f>F12/$H$7</f>
        <v>0.12507649418644184</v>
      </c>
    </row>
    <row r="13" spans="1:11" x14ac:dyDescent="0.25">
      <c r="A13" t="s">
        <v>914</v>
      </c>
      <c r="B13">
        <f t="shared" ref="B13:B14" si="2">G13*$I$5</f>
        <v>0.15159039912966615</v>
      </c>
      <c r="C13">
        <v>0.41449999999999998</v>
      </c>
      <c r="D13">
        <f t="shared" si="0"/>
        <v>0.2982013975641572</v>
      </c>
      <c r="E13" s="5">
        <f t="shared" si="1"/>
        <v>17.892083853849432</v>
      </c>
      <c r="F13">
        <v>0.69669999999999999</v>
      </c>
      <c r="G13">
        <f t="shared" ref="G13:G14" si="3">F13/$H$7</f>
        <v>0.11842999932005169</v>
      </c>
    </row>
    <row r="14" spans="1:11" x14ac:dyDescent="0.25">
      <c r="A14" t="s">
        <v>915</v>
      </c>
      <c r="B14">
        <f t="shared" si="2"/>
        <v>6.4970422247909165E-2</v>
      </c>
      <c r="C14">
        <f xml:space="preserve"> 0.1418 + 0.0359</f>
        <v>0.17770000000000002</v>
      </c>
      <c r="D14">
        <f t="shared" si="0"/>
        <v>0.29811976790088612</v>
      </c>
      <c r="E14" s="5">
        <f t="shared" si="1"/>
        <v>17.887186074053169</v>
      </c>
      <c r="F14">
        <f>0.2383 + 0.0603</f>
        <v>0.29860000000000003</v>
      </c>
      <c r="G14">
        <f t="shared" si="3"/>
        <v>5.0758142381179039E-2</v>
      </c>
    </row>
    <row r="15" spans="1:11" x14ac:dyDescent="0.25">
      <c r="A15" t="s">
        <v>916</v>
      </c>
      <c r="B15">
        <f>G15*$H$5</f>
        <v>1.2180087970397262</v>
      </c>
      <c r="C15">
        <f>0.4618 + 1.031</f>
        <v>1.4927999999999999</v>
      </c>
      <c r="D15">
        <f t="shared" si="0"/>
        <v>0.66529048399605795</v>
      </c>
      <c r="E15" s="5">
        <f t="shared" si="1"/>
        <v>39.917429039763476</v>
      </c>
      <c r="F15">
        <f xml:space="preserve"> 1.4787+3.3009</f>
        <v>4.7796000000000003</v>
      </c>
      <c r="G15">
        <f>F15/$I$7</f>
        <v>0.17563212646571397</v>
      </c>
    </row>
    <row r="16" spans="1:11" x14ac:dyDescent="0.25">
      <c r="A16" t="s">
        <v>917</v>
      </c>
      <c r="B16">
        <f t="shared" ref="B16:B18" si="4">G16*$H$5</f>
        <v>2.6958982056831666</v>
      </c>
      <c r="C16">
        <f xml:space="preserve"> 0.6801 + 1.8796 + 0.7445</f>
        <v>3.3041999999999998</v>
      </c>
      <c r="D16">
        <f t="shared" si="0"/>
        <v>0.66527265951124137</v>
      </c>
      <c r="E16" s="5">
        <f t="shared" si="1"/>
        <v>39.91635957067448</v>
      </c>
      <c r="F16">
        <f>2.1775 + 6.0179 + 2.3836</f>
        <v>10.578999999999999</v>
      </c>
      <c r="G16">
        <f t="shared" ref="G16:G18" si="5">F16/$I$7</f>
        <v>0.38873802533282864</v>
      </c>
    </row>
    <row r="17" spans="1:7" x14ac:dyDescent="0.25">
      <c r="A17" t="s">
        <v>918</v>
      </c>
      <c r="B17">
        <f t="shared" si="4"/>
        <v>0.32911924876073451</v>
      </c>
      <c r="C17">
        <f xml:space="preserve"> 0.2102 + 0.1932</f>
        <v>0.40339999999999998</v>
      </c>
      <c r="D17">
        <f t="shared" si="0"/>
        <v>0.66524237002093478</v>
      </c>
      <c r="E17" s="5">
        <f t="shared" si="1"/>
        <v>39.91454220125609</v>
      </c>
      <c r="F17">
        <f>0.6731 + 0.6184</f>
        <v>1.2915000000000001</v>
      </c>
      <c r="G17">
        <f t="shared" si="5"/>
        <v>4.7457714313011469E-2</v>
      </c>
    </row>
    <row r="18" spans="1:7" x14ac:dyDescent="0.25">
      <c r="A18" t="s">
        <v>919</v>
      </c>
      <c r="B18">
        <f t="shared" si="4"/>
        <v>0.35646303148781677</v>
      </c>
      <c r="C18">
        <f>0.3224 + 0.0461 + 0.0684</f>
        <v>0.43690000000000007</v>
      </c>
      <c r="D18">
        <f t="shared" si="0"/>
        <v>0.66526544250063513</v>
      </c>
      <c r="E18" s="5">
        <f t="shared" si="1"/>
        <v>39.915926550038108</v>
      </c>
      <c r="F18">
        <f>1.0322 + 0.1477 + 0.2189</f>
        <v>1.3988</v>
      </c>
      <c r="G18">
        <f t="shared" si="5"/>
        <v>5.1400581324847414E-2</v>
      </c>
    </row>
    <row r="19" spans="1:7" x14ac:dyDescent="0.25">
      <c r="A19" t="s">
        <v>934</v>
      </c>
      <c r="B19">
        <f>10.5+2</f>
        <v>12.5</v>
      </c>
      <c r="C19">
        <v>100</v>
      </c>
      <c r="D19">
        <f t="shared" ref="D19" si="6">($H$2*B19)/($I$2*C19)</f>
        <v>0.10192307692307692</v>
      </c>
      <c r="E19" s="5">
        <f t="shared" ref="E19" si="7">D19*60</f>
        <v>6.115384615384615</v>
      </c>
    </row>
    <row r="20" spans="1:7" x14ac:dyDescent="0.25">
      <c r="A20" t="s">
        <v>933</v>
      </c>
      <c r="B20">
        <v>9</v>
      </c>
      <c r="C20">
        <v>100</v>
      </c>
      <c r="D20">
        <f t="shared" ref="D20" si="8">($H$2*B20)/($I$2*C20)</f>
        <v>7.3384615384615381E-2</v>
      </c>
      <c r="E20" s="5">
        <f t="shared" ref="E20" si="9">D20*60</f>
        <v>4.4030769230769229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49E26-2F33-4C48-B568-5BD877D54B87}">
  <dimension ref="A1:E7"/>
  <sheetViews>
    <sheetView workbookViewId="0">
      <pane ySplit="1" topLeftCell="A2" activePane="bottomLeft" state="frozen"/>
      <selection pane="bottomLeft" activeCell="A2" sqref="A2:A7"/>
    </sheetView>
  </sheetViews>
  <sheetFormatPr defaultRowHeight="15" x14ac:dyDescent="0.25"/>
  <cols>
    <col min="1" max="1" width="23" customWidth="1"/>
    <col min="2" max="2" width="18.140625" customWidth="1"/>
    <col min="3" max="3" width="18" customWidth="1"/>
    <col min="4" max="4" width="18.85546875" customWidth="1"/>
    <col min="5" max="5" width="19" customWidth="1"/>
  </cols>
  <sheetData>
    <row r="1" spans="1:5" x14ac:dyDescent="0.25">
      <c r="A1" t="s">
        <v>0</v>
      </c>
      <c r="B1" t="s">
        <v>1</v>
      </c>
      <c r="C1" t="s">
        <v>4</v>
      </c>
      <c r="D1" t="s">
        <v>5</v>
      </c>
      <c r="E1" t="s">
        <v>74</v>
      </c>
    </row>
    <row r="2" spans="1:5" x14ac:dyDescent="0.25">
      <c r="A2" t="s">
        <v>140</v>
      </c>
    </row>
    <row r="3" spans="1:5" x14ac:dyDescent="0.25">
      <c r="A3" t="s">
        <v>927</v>
      </c>
    </row>
    <row r="4" spans="1:5" x14ac:dyDescent="0.25">
      <c r="A4" t="s">
        <v>928</v>
      </c>
    </row>
    <row r="5" spans="1:5" x14ac:dyDescent="0.25">
      <c r="A5" t="s">
        <v>929</v>
      </c>
    </row>
    <row r="6" spans="1:5" x14ac:dyDescent="0.25">
      <c r="A6" t="s">
        <v>930</v>
      </c>
    </row>
    <row r="7" spans="1:5" x14ac:dyDescent="0.25">
      <c r="A7" t="s">
        <v>931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DF3EF-B0DD-4EA1-9C5E-4B5CEDCAFD48}">
  <dimension ref="A1:G400"/>
  <sheetViews>
    <sheetView workbookViewId="0">
      <selection activeCell="E2" sqref="E2"/>
    </sheetView>
  </sheetViews>
  <sheetFormatPr defaultRowHeight="15" x14ac:dyDescent="0.25"/>
  <cols>
    <col min="1" max="1" width="27.28515625" customWidth="1"/>
    <col min="2" max="2" width="33.7109375" customWidth="1"/>
    <col min="3" max="3" width="49.7109375" customWidth="1"/>
    <col min="4" max="4" width="67.28515625" customWidth="1"/>
    <col min="5" max="5" width="53.28515625" customWidth="1"/>
  </cols>
  <sheetData>
    <row r="1" spans="1:7" x14ac:dyDescent="0.25">
      <c r="A1" t="s">
        <v>0</v>
      </c>
      <c r="B1" t="s">
        <v>1</v>
      </c>
      <c r="C1" t="s">
        <v>4</v>
      </c>
      <c r="D1" t="s">
        <v>5</v>
      </c>
      <c r="E1" t="s">
        <v>74</v>
      </c>
      <c r="G1" t="s">
        <v>12</v>
      </c>
    </row>
    <row r="2" spans="1:7" x14ac:dyDescent="0.25">
      <c r="A2" t="s">
        <v>8</v>
      </c>
      <c r="B2" t="s">
        <v>9</v>
      </c>
      <c r="C2" t="s">
        <v>7</v>
      </c>
      <c r="D2" t="s">
        <v>614</v>
      </c>
      <c r="E2" t="s">
        <v>614</v>
      </c>
      <c r="G2" t="s">
        <v>11</v>
      </c>
    </row>
    <row r="3" spans="1:7" x14ac:dyDescent="0.25">
      <c r="A3" t="s">
        <v>138</v>
      </c>
      <c r="B3" t="s">
        <v>138</v>
      </c>
      <c r="C3" t="s">
        <v>296</v>
      </c>
    </row>
    <row r="4" spans="1:7" x14ac:dyDescent="0.25">
      <c r="A4" t="s">
        <v>139</v>
      </c>
      <c r="B4" t="s">
        <v>139</v>
      </c>
      <c r="C4" t="s">
        <v>315</v>
      </c>
      <c r="D4" t="s">
        <v>337</v>
      </c>
    </row>
    <row r="5" spans="1:7" x14ac:dyDescent="0.25">
      <c r="A5" t="s">
        <v>140</v>
      </c>
      <c r="B5" t="s">
        <v>315</v>
      </c>
      <c r="C5" t="s">
        <v>9</v>
      </c>
      <c r="D5" t="s">
        <v>316</v>
      </c>
    </row>
    <row r="6" spans="1:7" x14ac:dyDescent="0.25">
      <c r="A6" t="s">
        <v>141</v>
      </c>
      <c r="B6" t="s">
        <v>141</v>
      </c>
      <c r="C6" t="s">
        <v>315</v>
      </c>
      <c r="D6" t="s">
        <v>344</v>
      </c>
    </row>
    <row r="7" spans="1:7" x14ac:dyDescent="0.25">
      <c r="A7" t="s">
        <v>142</v>
      </c>
      <c r="B7" t="s">
        <v>142</v>
      </c>
      <c r="C7" t="s">
        <v>299</v>
      </c>
      <c r="D7" t="s">
        <v>332</v>
      </c>
    </row>
    <row r="8" spans="1:7" x14ac:dyDescent="0.25">
      <c r="A8" t="s">
        <v>143</v>
      </c>
      <c r="B8" t="s">
        <v>143</v>
      </c>
      <c r="C8" t="s">
        <v>296</v>
      </c>
      <c r="D8" t="s">
        <v>321</v>
      </c>
    </row>
    <row r="9" spans="1:7" x14ac:dyDescent="0.25">
      <c r="A9" t="s">
        <v>144</v>
      </c>
      <c r="B9" t="s">
        <v>144</v>
      </c>
      <c r="C9" t="s">
        <v>143</v>
      </c>
    </row>
    <row r="10" spans="1:7" x14ac:dyDescent="0.25">
      <c r="A10" t="s">
        <v>145</v>
      </c>
      <c r="B10" t="s">
        <v>145</v>
      </c>
      <c r="C10" t="s">
        <v>300</v>
      </c>
      <c r="D10" t="s">
        <v>325</v>
      </c>
      <c r="E10" t="s">
        <v>325</v>
      </c>
    </row>
    <row r="11" spans="1:7" x14ac:dyDescent="0.25">
      <c r="A11" t="s">
        <v>146</v>
      </c>
      <c r="B11" t="s">
        <v>146</v>
      </c>
      <c r="C11" t="s">
        <v>145</v>
      </c>
      <c r="D11" t="s">
        <v>326</v>
      </c>
      <c r="E11" t="s">
        <v>326</v>
      </c>
    </row>
    <row r="12" spans="1:7" x14ac:dyDescent="0.25">
      <c r="A12" t="s">
        <v>147</v>
      </c>
      <c r="B12" t="s">
        <v>147</v>
      </c>
      <c r="C12" t="s">
        <v>142</v>
      </c>
      <c r="D12" t="s">
        <v>333</v>
      </c>
      <c r="E12" t="s">
        <v>333</v>
      </c>
    </row>
    <row r="13" spans="1:7" x14ac:dyDescent="0.25">
      <c r="A13" t="s">
        <v>148</v>
      </c>
      <c r="B13" t="s">
        <v>148</v>
      </c>
      <c r="C13" t="s">
        <v>142</v>
      </c>
    </row>
    <row r="14" spans="1:7" x14ac:dyDescent="0.25">
      <c r="A14" t="s">
        <v>149</v>
      </c>
      <c r="B14" t="s">
        <v>149</v>
      </c>
      <c r="C14" t="s">
        <v>142</v>
      </c>
    </row>
    <row r="15" spans="1:7" x14ac:dyDescent="0.25">
      <c r="A15" t="s">
        <v>150</v>
      </c>
      <c r="B15" t="s">
        <v>150</v>
      </c>
      <c r="C15" t="s">
        <v>299</v>
      </c>
      <c r="D15" t="s">
        <v>331</v>
      </c>
      <c r="E15" t="s">
        <v>331</v>
      </c>
    </row>
    <row r="16" spans="1:7" x14ac:dyDescent="0.25">
      <c r="A16" t="s">
        <v>151</v>
      </c>
      <c r="B16" t="s">
        <v>151</v>
      </c>
      <c r="C16" t="s">
        <v>152</v>
      </c>
    </row>
    <row r="17" spans="1:5" x14ac:dyDescent="0.25">
      <c r="A17" t="s">
        <v>152</v>
      </c>
      <c r="B17" t="s">
        <v>152</v>
      </c>
      <c r="C17" t="s">
        <v>287</v>
      </c>
      <c r="D17" t="s">
        <v>328</v>
      </c>
      <c r="E17" t="s">
        <v>328</v>
      </c>
    </row>
    <row r="18" spans="1:5" x14ac:dyDescent="0.25">
      <c r="A18" t="s">
        <v>153</v>
      </c>
      <c r="B18" t="s">
        <v>153</v>
      </c>
      <c r="C18" t="s">
        <v>299</v>
      </c>
    </row>
    <row r="19" spans="1:5" x14ac:dyDescent="0.25">
      <c r="A19" t="s">
        <v>154</v>
      </c>
      <c r="B19" t="s">
        <v>154</v>
      </c>
      <c r="C19" t="s">
        <v>299</v>
      </c>
    </row>
    <row r="20" spans="1:5" x14ac:dyDescent="0.25">
      <c r="A20" t="s">
        <v>155</v>
      </c>
      <c r="B20" t="s">
        <v>155</v>
      </c>
      <c r="C20" t="s">
        <v>287</v>
      </c>
    </row>
    <row r="21" spans="1:5" x14ac:dyDescent="0.25">
      <c r="A21" t="s">
        <v>156</v>
      </c>
      <c r="B21" t="s">
        <v>156</v>
      </c>
      <c r="C21" t="s">
        <v>287</v>
      </c>
      <c r="D21" t="s">
        <v>157</v>
      </c>
    </row>
    <row r="22" spans="1:5" x14ac:dyDescent="0.25">
      <c r="A22" t="s">
        <v>157</v>
      </c>
      <c r="B22" t="s">
        <v>157</v>
      </c>
      <c r="C22" t="s">
        <v>156</v>
      </c>
    </row>
    <row r="23" spans="1:5" x14ac:dyDescent="0.25">
      <c r="A23" t="s">
        <v>158</v>
      </c>
      <c r="B23" t="s">
        <v>158</v>
      </c>
      <c r="C23" t="s">
        <v>275</v>
      </c>
    </row>
    <row r="24" spans="1:5" x14ac:dyDescent="0.25">
      <c r="A24" t="s">
        <v>159</v>
      </c>
      <c r="B24" t="s">
        <v>159</v>
      </c>
      <c r="C24" t="s">
        <v>286</v>
      </c>
    </row>
    <row r="25" spans="1:5" x14ac:dyDescent="0.25">
      <c r="A25" t="s">
        <v>160</v>
      </c>
      <c r="B25" t="s">
        <v>160</v>
      </c>
      <c r="C25" t="s">
        <v>315</v>
      </c>
    </row>
    <row r="26" spans="1:5" x14ac:dyDescent="0.25">
      <c r="A26" t="s">
        <v>161</v>
      </c>
      <c r="B26" t="s">
        <v>161</v>
      </c>
      <c r="C26" t="s">
        <v>294</v>
      </c>
    </row>
    <row r="27" spans="1:5" x14ac:dyDescent="0.25">
      <c r="A27" t="s">
        <v>162</v>
      </c>
      <c r="B27" t="s">
        <v>162</v>
      </c>
      <c r="C27" t="s">
        <v>315</v>
      </c>
      <c r="D27" t="s">
        <v>163</v>
      </c>
      <c r="E27" t="s">
        <v>163</v>
      </c>
    </row>
    <row r="28" spans="1:5" x14ac:dyDescent="0.25">
      <c r="A28" t="s">
        <v>163</v>
      </c>
      <c r="B28" t="s">
        <v>163</v>
      </c>
      <c r="C28" t="s">
        <v>162</v>
      </c>
      <c r="D28" t="s">
        <v>335</v>
      </c>
      <c r="E28" t="s">
        <v>335</v>
      </c>
    </row>
    <row r="29" spans="1:5" x14ac:dyDescent="0.25">
      <c r="A29" t="s">
        <v>164</v>
      </c>
      <c r="B29" t="s">
        <v>164</v>
      </c>
      <c r="C29" t="s">
        <v>315</v>
      </c>
    </row>
    <row r="30" spans="1:5" x14ac:dyDescent="0.25">
      <c r="A30" t="s">
        <v>165</v>
      </c>
      <c r="B30" t="s">
        <v>165</v>
      </c>
      <c r="C30" t="s">
        <v>141</v>
      </c>
      <c r="D30" t="s">
        <v>345</v>
      </c>
      <c r="E30" t="s">
        <v>345</v>
      </c>
    </row>
    <row r="31" spans="1:5" x14ac:dyDescent="0.25">
      <c r="A31" t="s">
        <v>166</v>
      </c>
      <c r="B31" t="s">
        <v>166</v>
      </c>
      <c r="C31" t="s">
        <v>165</v>
      </c>
      <c r="D31" t="s">
        <v>346</v>
      </c>
      <c r="E31" t="s">
        <v>346</v>
      </c>
    </row>
    <row r="32" spans="1:5" x14ac:dyDescent="0.25">
      <c r="A32" t="s">
        <v>167</v>
      </c>
      <c r="B32" t="s">
        <v>167</v>
      </c>
      <c r="C32" t="s">
        <v>166</v>
      </c>
      <c r="D32" t="s">
        <v>347</v>
      </c>
      <c r="E32" t="s">
        <v>347</v>
      </c>
    </row>
    <row r="33" spans="1:5" x14ac:dyDescent="0.25">
      <c r="A33" t="s">
        <v>168</v>
      </c>
      <c r="B33" t="s">
        <v>168</v>
      </c>
      <c r="C33" t="s">
        <v>233</v>
      </c>
    </row>
    <row r="34" spans="1:5" x14ac:dyDescent="0.25">
      <c r="A34" t="s">
        <v>169</v>
      </c>
      <c r="B34" t="s">
        <v>169</v>
      </c>
      <c r="C34" t="s">
        <v>170</v>
      </c>
      <c r="D34" t="s">
        <v>172</v>
      </c>
      <c r="E34" t="s">
        <v>172</v>
      </c>
    </row>
    <row r="35" spans="1:5" x14ac:dyDescent="0.25">
      <c r="A35" t="s">
        <v>170</v>
      </c>
      <c r="B35" t="s">
        <v>170</v>
      </c>
      <c r="C35" t="s">
        <v>233</v>
      </c>
      <c r="D35" t="s">
        <v>349</v>
      </c>
      <c r="E35" t="s">
        <v>349</v>
      </c>
    </row>
    <row r="36" spans="1:5" x14ac:dyDescent="0.25">
      <c r="A36" t="s">
        <v>171</v>
      </c>
      <c r="B36" t="s">
        <v>171</v>
      </c>
      <c r="C36" t="s">
        <v>170</v>
      </c>
    </row>
    <row r="37" spans="1:5" x14ac:dyDescent="0.25">
      <c r="A37" t="s">
        <v>172</v>
      </c>
      <c r="B37" t="s">
        <v>172</v>
      </c>
      <c r="C37" t="s">
        <v>169</v>
      </c>
    </row>
    <row r="38" spans="1:5" x14ac:dyDescent="0.25">
      <c r="A38" t="s">
        <v>173</v>
      </c>
      <c r="B38" t="s">
        <v>173</v>
      </c>
      <c r="C38" t="s">
        <v>174</v>
      </c>
    </row>
    <row r="39" spans="1:5" x14ac:dyDescent="0.25">
      <c r="A39" t="s">
        <v>174</v>
      </c>
      <c r="B39" t="s">
        <v>174</v>
      </c>
      <c r="C39" t="s">
        <v>175</v>
      </c>
      <c r="D39" t="s">
        <v>173</v>
      </c>
      <c r="E39" t="s">
        <v>173</v>
      </c>
    </row>
    <row r="40" spans="1:5" x14ac:dyDescent="0.25">
      <c r="A40" t="s">
        <v>175</v>
      </c>
      <c r="B40" t="s">
        <v>175</v>
      </c>
      <c r="C40" t="s">
        <v>296</v>
      </c>
      <c r="D40" t="s">
        <v>320</v>
      </c>
      <c r="E40" t="s">
        <v>320</v>
      </c>
    </row>
    <row r="41" spans="1:5" x14ac:dyDescent="0.25">
      <c r="A41" t="s">
        <v>176</v>
      </c>
      <c r="B41" t="s">
        <v>176</v>
      </c>
      <c r="C41" t="s">
        <v>296</v>
      </c>
    </row>
    <row r="42" spans="1:5" x14ac:dyDescent="0.25">
      <c r="A42" t="s">
        <v>177</v>
      </c>
      <c r="B42" t="s">
        <v>177</v>
      </c>
      <c r="C42" t="s">
        <v>296</v>
      </c>
      <c r="D42" t="s">
        <v>208</v>
      </c>
    </row>
    <row r="43" spans="1:5" x14ac:dyDescent="0.25">
      <c r="A43" t="s">
        <v>178</v>
      </c>
      <c r="B43" t="s">
        <v>178</v>
      </c>
      <c r="C43" t="s">
        <v>306</v>
      </c>
      <c r="D43" t="s">
        <v>363</v>
      </c>
    </row>
    <row r="44" spans="1:5" x14ac:dyDescent="0.25">
      <c r="A44" t="s">
        <v>179</v>
      </c>
      <c r="B44" t="s">
        <v>179</v>
      </c>
      <c r="C44" t="s">
        <v>310</v>
      </c>
      <c r="D44" t="s">
        <v>365</v>
      </c>
    </row>
    <row r="45" spans="1:5" x14ac:dyDescent="0.25">
      <c r="A45" t="s">
        <v>180</v>
      </c>
      <c r="B45" t="s">
        <v>180</v>
      </c>
      <c r="C45" t="s">
        <v>181</v>
      </c>
    </row>
    <row r="46" spans="1:5" x14ac:dyDescent="0.25">
      <c r="A46" t="s">
        <v>181</v>
      </c>
      <c r="B46" t="s">
        <v>181</v>
      </c>
      <c r="C46" t="s">
        <v>179</v>
      </c>
      <c r="D46" t="s">
        <v>180</v>
      </c>
      <c r="E46" t="s">
        <v>180</v>
      </c>
    </row>
    <row r="47" spans="1:5" x14ac:dyDescent="0.25">
      <c r="A47" t="s">
        <v>182</v>
      </c>
      <c r="B47" t="s">
        <v>182</v>
      </c>
      <c r="C47" t="s">
        <v>179</v>
      </c>
    </row>
    <row r="48" spans="1:5" x14ac:dyDescent="0.25">
      <c r="A48" t="s">
        <v>183</v>
      </c>
      <c r="B48" t="s">
        <v>183</v>
      </c>
      <c r="C48" t="s">
        <v>179</v>
      </c>
    </row>
    <row r="49" spans="1:5" x14ac:dyDescent="0.25">
      <c r="A49" t="s">
        <v>184</v>
      </c>
      <c r="B49" t="s">
        <v>184</v>
      </c>
      <c r="C49" t="s">
        <v>179</v>
      </c>
      <c r="D49" t="s">
        <v>187</v>
      </c>
    </row>
    <row r="50" spans="1:5" x14ac:dyDescent="0.25">
      <c r="A50" t="s">
        <v>185</v>
      </c>
      <c r="B50" t="s">
        <v>185</v>
      </c>
      <c r="C50" t="s">
        <v>307</v>
      </c>
    </row>
    <row r="51" spans="1:5" x14ac:dyDescent="0.25">
      <c r="A51" t="s">
        <v>186</v>
      </c>
      <c r="B51" t="s">
        <v>186</v>
      </c>
      <c r="C51" t="s">
        <v>276</v>
      </c>
    </row>
    <row r="52" spans="1:5" x14ac:dyDescent="0.25">
      <c r="A52" t="s">
        <v>187</v>
      </c>
      <c r="B52" t="s">
        <v>187</v>
      </c>
      <c r="C52" t="s">
        <v>184</v>
      </c>
      <c r="D52" t="s">
        <v>364</v>
      </c>
      <c r="E52" t="s">
        <v>364</v>
      </c>
    </row>
    <row r="53" spans="1:5" x14ac:dyDescent="0.25">
      <c r="A53" t="s">
        <v>188</v>
      </c>
      <c r="B53" t="s">
        <v>188</v>
      </c>
      <c r="C53" t="s">
        <v>303</v>
      </c>
      <c r="D53" t="s">
        <v>354</v>
      </c>
      <c r="E53" t="s">
        <v>354</v>
      </c>
    </row>
    <row r="54" spans="1:5" x14ac:dyDescent="0.25">
      <c r="A54" t="s">
        <v>189</v>
      </c>
      <c r="B54" t="s">
        <v>189</v>
      </c>
      <c r="C54" t="s">
        <v>139</v>
      </c>
      <c r="D54" t="s">
        <v>340</v>
      </c>
      <c r="E54" t="s">
        <v>340</v>
      </c>
    </row>
    <row r="55" spans="1:5" x14ac:dyDescent="0.25">
      <c r="A55" t="s">
        <v>190</v>
      </c>
      <c r="B55" t="s">
        <v>190</v>
      </c>
      <c r="C55" t="s">
        <v>139</v>
      </c>
      <c r="D55" t="s">
        <v>209</v>
      </c>
      <c r="E55" t="s">
        <v>209</v>
      </c>
    </row>
    <row r="56" spans="1:5" x14ac:dyDescent="0.25">
      <c r="A56" t="s">
        <v>191</v>
      </c>
      <c r="B56" t="s">
        <v>191</v>
      </c>
      <c r="C56" t="s">
        <v>139</v>
      </c>
      <c r="D56" t="s">
        <v>192</v>
      </c>
      <c r="E56" t="s">
        <v>192</v>
      </c>
    </row>
    <row r="57" spans="1:5" x14ac:dyDescent="0.25">
      <c r="A57" t="s">
        <v>192</v>
      </c>
      <c r="B57" t="s">
        <v>192</v>
      </c>
      <c r="C57" t="s">
        <v>191</v>
      </c>
      <c r="D57" t="s">
        <v>338</v>
      </c>
      <c r="E57" t="s">
        <v>338</v>
      </c>
    </row>
    <row r="58" spans="1:5" x14ac:dyDescent="0.25">
      <c r="A58" t="s">
        <v>193</v>
      </c>
      <c r="B58" t="s">
        <v>193</v>
      </c>
      <c r="C58" t="s">
        <v>250</v>
      </c>
      <c r="D58" t="s">
        <v>357</v>
      </c>
      <c r="E58" t="s">
        <v>357</v>
      </c>
    </row>
    <row r="59" spans="1:5" x14ac:dyDescent="0.25">
      <c r="A59" t="s">
        <v>194</v>
      </c>
      <c r="B59" t="s">
        <v>194</v>
      </c>
      <c r="C59" t="s">
        <v>239</v>
      </c>
      <c r="D59" t="s">
        <v>278</v>
      </c>
    </row>
    <row r="60" spans="1:5" x14ac:dyDescent="0.25">
      <c r="A60" t="s">
        <v>195</v>
      </c>
      <c r="B60" t="s">
        <v>195</v>
      </c>
      <c r="C60" t="s">
        <v>193</v>
      </c>
    </row>
    <row r="61" spans="1:5" x14ac:dyDescent="0.25">
      <c r="A61" t="s">
        <v>196</v>
      </c>
      <c r="B61" t="s">
        <v>196</v>
      </c>
      <c r="C61" t="s">
        <v>288</v>
      </c>
      <c r="D61" t="s">
        <v>342</v>
      </c>
      <c r="E61" t="s">
        <v>342</v>
      </c>
    </row>
    <row r="62" spans="1:5" x14ac:dyDescent="0.25">
      <c r="A62" t="s">
        <v>197</v>
      </c>
      <c r="B62" t="s">
        <v>197</v>
      </c>
      <c r="C62" t="s">
        <v>196</v>
      </c>
    </row>
    <row r="63" spans="1:5" x14ac:dyDescent="0.25">
      <c r="A63" t="s">
        <v>198</v>
      </c>
      <c r="B63" t="s">
        <v>198</v>
      </c>
      <c r="C63" t="s">
        <v>247</v>
      </c>
    </row>
    <row r="64" spans="1:5" x14ac:dyDescent="0.25">
      <c r="A64" t="s">
        <v>199</v>
      </c>
      <c r="B64" t="s">
        <v>199</v>
      </c>
      <c r="C64" t="s">
        <v>165</v>
      </c>
      <c r="D64" t="s">
        <v>350</v>
      </c>
      <c r="E64" t="s">
        <v>350</v>
      </c>
    </row>
    <row r="65" spans="1:5" x14ac:dyDescent="0.25">
      <c r="A65" t="s">
        <v>200</v>
      </c>
      <c r="B65" t="s">
        <v>200</v>
      </c>
      <c r="C65" t="s">
        <v>221</v>
      </c>
    </row>
    <row r="66" spans="1:5" x14ac:dyDescent="0.25">
      <c r="A66" t="s">
        <v>201</v>
      </c>
      <c r="B66" t="s">
        <v>201</v>
      </c>
      <c r="C66" t="s">
        <v>302</v>
      </c>
      <c r="D66" t="s">
        <v>272</v>
      </c>
      <c r="E66" t="s">
        <v>272</v>
      </c>
    </row>
    <row r="67" spans="1:5" x14ac:dyDescent="0.25">
      <c r="A67" t="s">
        <v>202</v>
      </c>
      <c r="B67" t="s">
        <v>202</v>
      </c>
      <c r="C67" t="s">
        <v>302</v>
      </c>
      <c r="D67" t="s">
        <v>355</v>
      </c>
      <c r="E67" t="s">
        <v>355</v>
      </c>
    </row>
    <row r="68" spans="1:5" x14ac:dyDescent="0.25">
      <c r="A68" t="s">
        <v>203</v>
      </c>
      <c r="B68" t="s">
        <v>203</v>
      </c>
      <c r="C68" t="s">
        <v>192</v>
      </c>
      <c r="D68" t="s">
        <v>204</v>
      </c>
      <c r="E68" t="s">
        <v>204</v>
      </c>
    </row>
    <row r="69" spans="1:5" x14ac:dyDescent="0.25">
      <c r="A69" t="s">
        <v>204</v>
      </c>
      <c r="B69" t="s">
        <v>204</v>
      </c>
      <c r="C69" t="s">
        <v>203</v>
      </c>
      <c r="D69" t="s">
        <v>339</v>
      </c>
      <c r="E69" t="s">
        <v>339</v>
      </c>
    </row>
    <row r="70" spans="1:5" x14ac:dyDescent="0.25">
      <c r="A70" t="s">
        <v>205</v>
      </c>
      <c r="B70" t="s">
        <v>205</v>
      </c>
      <c r="C70" t="s">
        <v>204</v>
      </c>
    </row>
    <row r="71" spans="1:5" x14ac:dyDescent="0.25">
      <c r="A71" t="s">
        <v>206</v>
      </c>
      <c r="B71" t="s">
        <v>206</v>
      </c>
      <c r="C71" t="s">
        <v>287</v>
      </c>
    </row>
    <row r="72" spans="1:5" x14ac:dyDescent="0.25">
      <c r="A72" t="s">
        <v>207</v>
      </c>
      <c r="B72" t="s">
        <v>207</v>
      </c>
      <c r="C72" t="s">
        <v>230</v>
      </c>
    </row>
    <row r="73" spans="1:5" x14ac:dyDescent="0.25">
      <c r="A73" t="s">
        <v>208</v>
      </c>
      <c r="B73" t="s">
        <v>208</v>
      </c>
      <c r="C73" t="s">
        <v>177</v>
      </c>
    </row>
    <row r="74" spans="1:5" x14ac:dyDescent="0.25">
      <c r="A74" t="s">
        <v>209</v>
      </c>
      <c r="B74" t="s">
        <v>209</v>
      </c>
      <c r="C74" t="s">
        <v>190</v>
      </c>
    </row>
    <row r="75" spans="1:5" x14ac:dyDescent="0.25">
      <c r="A75" t="s">
        <v>210</v>
      </c>
      <c r="B75" t="s">
        <v>210</v>
      </c>
      <c r="C75" t="s">
        <v>298</v>
      </c>
    </row>
    <row r="76" spans="1:5" x14ac:dyDescent="0.25">
      <c r="A76" t="s">
        <v>211</v>
      </c>
      <c r="B76" t="s">
        <v>211</v>
      </c>
      <c r="C76" t="s">
        <v>202</v>
      </c>
    </row>
    <row r="77" spans="1:5" x14ac:dyDescent="0.25">
      <c r="A77" t="s">
        <v>212</v>
      </c>
      <c r="B77" t="s">
        <v>212</v>
      </c>
      <c r="C77" t="s">
        <v>141</v>
      </c>
    </row>
    <row r="78" spans="1:5" x14ac:dyDescent="0.25">
      <c r="A78" t="s">
        <v>213</v>
      </c>
      <c r="B78" t="s">
        <v>213</v>
      </c>
      <c r="C78" t="s">
        <v>199</v>
      </c>
    </row>
    <row r="79" spans="1:5" x14ac:dyDescent="0.25">
      <c r="A79" t="s">
        <v>214</v>
      </c>
      <c r="B79" t="s">
        <v>214</v>
      </c>
      <c r="C79" t="s">
        <v>294</v>
      </c>
    </row>
    <row r="80" spans="1:5" x14ac:dyDescent="0.25">
      <c r="A80" t="s">
        <v>215</v>
      </c>
      <c r="B80" t="s">
        <v>215</v>
      </c>
      <c r="C80" t="s">
        <v>166</v>
      </c>
    </row>
    <row r="81" spans="1:5" x14ac:dyDescent="0.25">
      <c r="A81" t="s">
        <v>216</v>
      </c>
      <c r="B81" t="s">
        <v>216</v>
      </c>
      <c r="C81" t="s">
        <v>146</v>
      </c>
      <c r="D81" t="s">
        <v>256</v>
      </c>
      <c r="E81" t="s">
        <v>256</v>
      </c>
    </row>
    <row r="82" spans="1:5" x14ac:dyDescent="0.25">
      <c r="A82" t="s">
        <v>217</v>
      </c>
      <c r="B82" t="s">
        <v>217</v>
      </c>
      <c r="C82" t="s">
        <v>297</v>
      </c>
    </row>
    <row r="83" spans="1:5" x14ac:dyDescent="0.25">
      <c r="A83" t="s">
        <v>218</v>
      </c>
      <c r="B83" t="s">
        <v>218</v>
      </c>
      <c r="C83" t="s">
        <v>175</v>
      </c>
    </row>
    <row r="84" spans="1:5" x14ac:dyDescent="0.25">
      <c r="A84" t="s">
        <v>219</v>
      </c>
      <c r="B84" t="s">
        <v>219</v>
      </c>
      <c r="C84" t="s">
        <v>295</v>
      </c>
    </row>
    <row r="85" spans="1:5" x14ac:dyDescent="0.25">
      <c r="A85" t="s">
        <v>220</v>
      </c>
      <c r="B85" t="s">
        <v>220</v>
      </c>
      <c r="C85" t="s">
        <v>300</v>
      </c>
    </row>
    <row r="86" spans="1:5" x14ac:dyDescent="0.25">
      <c r="A86" t="s">
        <v>221</v>
      </c>
      <c r="B86" t="s">
        <v>221</v>
      </c>
      <c r="C86" t="s">
        <v>236</v>
      </c>
      <c r="D86" t="s">
        <v>351</v>
      </c>
      <c r="E86" t="s">
        <v>351</v>
      </c>
    </row>
    <row r="87" spans="1:5" x14ac:dyDescent="0.25">
      <c r="A87" t="s">
        <v>222</v>
      </c>
      <c r="B87" t="s">
        <v>222</v>
      </c>
      <c r="C87" t="s">
        <v>166</v>
      </c>
    </row>
    <row r="88" spans="1:5" x14ac:dyDescent="0.25">
      <c r="A88" t="s">
        <v>223</v>
      </c>
      <c r="B88" t="s">
        <v>223</v>
      </c>
      <c r="C88" t="s">
        <v>188</v>
      </c>
    </row>
    <row r="89" spans="1:5" x14ac:dyDescent="0.25">
      <c r="A89" t="s">
        <v>224</v>
      </c>
      <c r="B89" t="s">
        <v>224</v>
      </c>
      <c r="C89" t="s">
        <v>141</v>
      </c>
    </row>
    <row r="90" spans="1:5" x14ac:dyDescent="0.25">
      <c r="A90" t="s">
        <v>225</v>
      </c>
      <c r="B90" t="s">
        <v>225</v>
      </c>
      <c r="C90" t="s">
        <v>252</v>
      </c>
    </row>
    <row r="91" spans="1:5" x14ac:dyDescent="0.25">
      <c r="A91" t="s">
        <v>226</v>
      </c>
      <c r="B91" t="s">
        <v>226</v>
      </c>
      <c r="C91" t="s">
        <v>187</v>
      </c>
    </row>
    <row r="92" spans="1:5" x14ac:dyDescent="0.25">
      <c r="A92" t="s">
        <v>227</v>
      </c>
      <c r="B92" t="s">
        <v>227</v>
      </c>
      <c r="C92" t="s">
        <v>178</v>
      </c>
    </row>
    <row r="93" spans="1:5" x14ac:dyDescent="0.25">
      <c r="A93" t="s">
        <v>228</v>
      </c>
      <c r="B93" t="s">
        <v>228</v>
      </c>
      <c r="C93" t="s">
        <v>288</v>
      </c>
      <c r="D93" t="s">
        <v>246</v>
      </c>
      <c r="E93" t="s">
        <v>246</v>
      </c>
    </row>
    <row r="94" spans="1:5" x14ac:dyDescent="0.25">
      <c r="A94" t="s">
        <v>229</v>
      </c>
      <c r="B94" t="s">
        <v>229</v>
      </c>
      <c r="C94" t="s">
        <v>178</v>
      </c>
    </row>
    <row r="95" spans="1:5" x14ac:dyDescent="0.25">
      <c r="A95" t="s">
        <v>230</v>
      </c>
      <c r="B95" t="s">
        <v>230</v>
      </c>
      <c r="C95" t="s">
        <v>146</v>
      </c>
      <c r="D95" t="s">
        <v>327</v>
      </c>
      <c r="E95" t="s">
        <v>327</v>
      </c>
    </row>
    <row r="96" spans="1:5" x14ac:dyDescent="0.25">
      <c r="A96" t="s">
        <v>231</v>
      </c>
      <c r="B96" t="s">
        <v>231</v>
      </c>
      <c r="C96" t="s">
        <v>196</v>
      </c>
    </row>
    <row r="97" spans="1:5" x14ac:dyDescent="0.25">
      <c r="A97" t="s">
        <v>232</v>
      </c>
      <c r="B97" t="s">
        <v>232</v>
      </c>
      <c r="C97" t="s">
        <v>152</v>
      </c>
    </row>
    <row r="98" spans="1:5" x14ac:dyDescent="0.25">
      <c r="A98" t="s">
        <v>233</v>
      </c>
      <c r="B98" t="s">
        <v>233</v>
      </c>
      <c r="C98" t="s">
        <v>167</v>
      </c>
      <c r="D98" t="s">
        <v>348</v>
      </c>
      <c r="E98" t="s">
        <v>348</v>
      </c>
    </row>
    <row r="99" spans="1:5" x14ac:dyDescent="0.25">
      <c r="A99" t="s">
        <v>234</v>
      </c>
      <c r="B99" t="s">
        <v>234</v>
      </c>
      <c r="C99" t="s">
        <v>167</v>
      </c>
    </row>
    <row r="100" spans="1:5" x14ac:dyDescent="0.25">
      <c r="A100" t="s">
        <v>235</v>
      </c>
      <c r="B100" t="s">
        <v>235</v>
      </c>
      <c r="C100" t="s">
        <v>139</v>
      </c>
      <c r="D100" t="s">
        <v>268</v>
      </c>
      <c r="E100" t="s">
        <v>268</v>
      </c>
    </row>
    <row r="101" spans="1:5" x14ac:dyDescent="0.25">
      <c r="A101" t="s">
        <v>236</v>
      </c>
      <c r="B101" t="s">
        <v>236</v>
      </c>
      <c r="C101" t="s">
        <v>199</v>
      </c>
      <c r="D101" t="s">
        <v>221</v>
      </c>
      <c r="E101" t="s">
        <v>221</v>
      </c>
    </row>
    <row r="102" spans="1:5" x14ac:dyDescent="0.25">
      <c r="A102" t="s">
        <v>237</v>
      </c>
      <c r="B102" t="s">
        <v>237</v>
      </c>
      <c r="C102" t="s">
        <v>179</v>
      </c>
    </row>
    <row r="103" spans="1:5" x14ac:dyDescent="0.25">
      <c r="A103" t="s">
        <v>238</v>
      </c>
      <c r="B103" t="s">
        <v>238</v>
      </c>
      <c r="C103" t="s">
        <v>304</v>
      </c>
    </row>
    <row r="104" spans="1:5" x14ac:dyDescent="0.25">
      <c r="A104" t="s">
        <v>239</v>
      </c>
      <c r="B104" t="s">
        <v>239</v>
      </c>
      <c r="C104" t="s">
        <v>252</v>
      </c>
      <c r="D104" t="s">
        <v>359</v>
      </c>
      <c r="E104" t="s">
        <v>359</v>
      </c>
    </row>
    <row r="105" spans="1:5" x14ac:dyDescent="0.25">
      <c r="A105" t="s">
        <v>240</v>
      </c>
      <c r="B105" t="s">
        <v>240</v>
      </c>
      <c r="C105" t="s">
        <v>230</v>
      </c>
    </row>
    <row r="106" spans="1:5" x14ac:dyDescent="0.25">
      <c r="A106" t="s">
        <v>241</v>
      </c>
      <c r="B106" t="s">
        <v>241</v>
      </c>
      <c r="C106" t="s">
        <v>307</v>
      </c>
    </row>
    <row r="107" spans="1:5" x14ac:dyDescent="0.25">
      <c r="A107" t="s">
        <v>242</v>
      </c>
      <c r="B107" t="s">
        <v>242</v>
      </c>
      <c r="C107" t="s">
        <v>179</v>
      </c>
    </row>
    <row r="108" spans="1:5" x14ac:dyDescent="0.25">
      <c r="A108" t="s">
        <v>243</v>
      </c>
      <c r="B108" t="s">
        <v>243</v>
      </c>
      <c r="C108" t="s">
        <v>288</v>
      </c>
    </row>
    <row r="109" spans="1:5" x14ac:dyDescent="0.25">
      <c r="A109" t="s">
        <v>244</v>
      </c>
      <c r="B109" t="s">
        <v>244</v>
      </c>
      <c r="C109" t="s">
        <v>306</v>
      </c>
    </row>
    <row r="110" spans="1:5" x14ac:dyDescent="0.25">
      <c r="A110" t="s">
        <v>245</v>
      </c>
      <c r="B110" t="s">
        <v>245</v>
      </c>
      <c r="C110" t="s">
        <v>314</v>
      </c>
    </row>
    <row r="111" spans="1:5" x14ac:dyDescent="0.25">
      <c r="A111" t="s">
        <v>246</v>
      </c>
      <c r="B111" t="s">
        <v>246</v>
      </c>
      <c r="C111" t="s">
        <v>228</v>
      </c>
    </row>
    <row r="112" spans="1:5" x14ac:dyDescent="0.25">
      <c r="A112" t="s">
        <v>247</v>
      </c>
      <c r="B112" t="s">
        <v>247</v>
      </c>
      <c r="C112" t="s">
        <v>304</v>
      </c>
      <c r="D112" t="s">
        <v>360</v>
      </c>
      <c r="E112" t="s">
        <v>360</v>
      </c>
    </row>
    <row r="113" spans="1:5" x14ac:dyDescent="0.25">
      <c r="A113" t="s">
        <v>248</v>
      </c>
      <c r="B113" t="s">
        <v>248</v>
      </c>
      <c r="C113" t="s">
        <v>298</v>
      </c>
    </row>
    <row r="114" spans="1:5" x14ac:dyDescent="0.25">
      <c r="A114" t="s">
        <v>249</v>
      </c>
      <c r="B114" t="s">
        <v>249</v>
      </c>
      <c r="C114" t="s">
        <v>294</v>
      </c>
    </row>
    <row r="115" spans="1:5" x14ac:dyDescent="0.25">
      <c r="A115" t="s">
        <v>250</v>
      </c>
      <c r="B115" t="s">
        <v>250</v>
      </c>
      <c r="C115" t="s">
        <v>304</v>
      </c>
      <c r="D115" t="s">
        <v>193</v>
      </c>
      <c r="E115" t="s">
        <v>193</v>
      </c>
    </row>
    <row r="116" spans="1:5" x14ac:dyDescent="0.25">
      <c r="A116" t="s">
        <v>251</v>
      </c>
      <c r="B116" t="s">
        <v>251</v>
      </c>
      <c r="C116" t="s">
        <v>141</v>
      </c>
    </row>
    <row r="117" spans="1:5" x14ac:dyDescent="0.25">
      <c r="A117" t="s">
        <v>252</v>
      </c>
      <c r="B117" t="s">
        <v>252</v>
      </c>
      <c r="C117" t="s">
        <v>193</v>
      </c>
      <c r="D117" t="s">
        <v>358</v>
      </c>
      <c r="E117" t="s">
        <v>358</v>
      </c>
    </row>
    <row r="118" spans="1:5" x14ac:dyDescent="0.25">
      <c r="A118" t="s">
        <v>253</v>
      </c>
      <c r="B118" t="s">
        <v>253</v>
      </c>
      <c r="C118" t="s">
        <v>297</v>
      </c>
    </row>
    <row r="119" spans="1:5" x14ac:dyDescent="0.25">
      <c r="A119" t="s">
        <v>254</v>
      </c>
      <c r="B119" t="s">
        <v>254</v>
      </c>
      <c r="C119" t="s">
        <v>187</v>
      </c>
    </row>
    <row r="120" spans="1:5" x14ac:dyDescent="0.25">
      <c r="A120" t="s">
        <v>255</v>
      </c>
      <c r="B120" t="s">
        <v>255</v>
      </c>
      <c r="C120" t="s">
        <v>150</v>
      </c>
    </row>
    <row r="121" spans="1:5" x14ac:dyDescent="0.25">
      <c r="A121" t="s">
        <v>256</v>
      </c>
      <c r="B121" t="s">
        <v>256</v>
      </c>
      <c r="C121" t="s">
        <v>216</v>
      </c>
    </row>
    <row r="122" spans="1:5" x14ac:dyDescent="0.25">
      <c r="A122" t="s">
        <v>257</v>
      </c>
      <c r="B122" t="s">
        <v>257</v>
      </c>
      <c r="C122" t="s">
        <v>221</v>
      </c>
    </row>
    <row r="123" spans="1:5" x14ac:dyDescent="0.25">
      <c r="A123" t="s">
        <v>258</v>
      </c>
      <c r="B123" t="s">
        <v>258</v>
      </c>
      <c r="C123" t="s">
        <v>145</v>
      </c>
    </row>
    <row r="124" spans="1:5" x14ac:dyDescent="0.25">
      <c r="A124" t="s">
        <v>259</v>
      </c>
      <c r="B124" t="s">
        <v>259</v>
      </c>
      <c r="C124" t="s">
        <v>150</v>
      </c>
    </row>
    <row r="125" spans="1:5" x14ac:dyDescent="0.25">
      <c r="A125" t="s">
        <v>260</v>
      </c>
      <c r="B125" t="s">
        <v>260</v>
      </c>
      <c r="C125" t="s">
        <v>147</v>
      </c>
    </row>
    <row r="126" spans="1:5" x14ac:dyDescent="0.25">
      <c r="A126" t="s">
        <v>261</v>
      </c>
      <c r="B126" t="s">
        <v>261</v>
      </c>
      <c r="C126" t="s">
        <v>139</v>
      </c>
    </row>
    <row r="127" spans="1:5" x14ac:dyDescent="0.25">
      <c r="A127" t="s">
        <v>262</v>
      </c>
      <c r="B127" t="s">
        <v>262</v>
      </c>
      <c r="C127" t="s">
        <v>189</v>
      </c>
    </row>
    <row r="128" spans="1:5" x14ac:dyDescent="0.25">
      <c r="A128" t="s">
        <v>263</v>
      </c>
      <c r="B128" t="s">
        <v>263</v>
      </c>
      <c r="C128" t="s">
        <v>139</v>
      </c>
    </row>
    <row r="129" spans="1:4" x14ac:dyDescent="0.25">
      <c r="A129" t="s">
        <v>264</v>
      </c>
      <c r="B129" t="s">
        <v>264</v>
      </c>
      <c r="C129" t="s">
        <v>302</v>
      </c>
    </row>
    <row r="130" spans="1:4" x14ac:dyDescent="0.25">
      <c r="A130" t="s">
        <v>265</v>
      </c>
      <c r="B130" t="s">
        <v>265</v>
      </c>
      <c r="C130" t="s">
        <v>189</v>
      </c>
    </row>
    <row r="131" spans="1:4" x14ac:dyDescent="0.25">
      <c r="A131" t="s">
        <v>266</v>
      </c>
      <c r="B131" t="s">
        <v>266</v>
      </c>
      <c r="C131" t="s">
        <v>192</v>
      </c>
    </row>
    <row r="132" spans="1:4" x14ac:dyDescent="0.25">
      <c r="A132" t="s">
        <v>267</v>
      </c>
      <c r="B132" t="s">
        <v>267</v>
      </c>
      <c r="C132" t="s">
        <v>139</v>
      </c>
    </row>
    <row r="133" spans="1:4" x14ac:dyDescent="0.25">
      <c r="A133" t="s">
        <v>268</v>
      </c>
      <c r="B133" t="s">
        <v>268</v>
      </c>
      <c r="C133" t="s">
        <v>235</v>
      </c>
    </row>
    <row r="134" spans="1:4" x14ac:dyDescent="0.25">
      <c r="A134" t="s">
        <v>269</v>
      </c>
      <c r="B134" t="s">
        <v>269</v>
      </c>
      <c r="C134" t="s">
        <v>204</v>
      </c>
    </row>
    <row r="135" spans="1:4" x14ac:dyDescent="0.25">
      <c r="A135" t="s">
        <v>270</v>
      </c>
      <c r="B135" t="s">
        <v>270</v>
      </c>
      <c r="C135" t="s">
        <v>189</v>
      </c>
    </row>
    <row r="136" spans="1:4" x14ac:dyDescent="0.25">
      <c r="A136" t="s">
        <v>271</v>
      </c>
      <c r="B136" t="s">
        <v>271</v>
      </c>
      <c r="C136" t="s">
        <v>202</v>
      </c>
    </row>
    <row r="137" spans="1:4" x14ac:dyDescent="0.25">
      <c r="A137" t="s">
        <v>272</v>
      </c>
      <c r="B137" t="s">
        <v>272</v>
      </c>
      <c r="C137" t="s">
        <v>201</v>
      </c>
    </row>
    <row r="138" spans="1:4" x14ac:dyDescent="0.25">
      <c r="A138" t="s">
        <v>273</v>
      </c>
      <c r="B138" t="s">
        <v>273</v>
      </c>
      <c r="C138" t="s">
        <v>147</v>
      </c>
    </row>
    <row r="139" spans="1:4" x14ac:dyDescent="0.25">
      <c r="A139" t="s">
        <v>274</v>
      </c>
      <c r="B139" t="s">
        <v>274</v>
      </c>
      <c r="C139" t="s">
        <v>179</v>
      </c>
    </row>
    <row r="140" spans="1:4" x14ac:dyDescent="0.25">
      <c r="A140" t="s">
        <v>275</v>
      </c>
      <c r="B140" t="s">
        <v>275</v>
      </c>
      <c r="C140" t="s">
        <v>315</v>
      </c>
      <c r="D140" t="s">
        <v>341</v>
      </c>
    </row>
    <row r="141" spans="1:4" x14ac:dyDescent="0.25">
      <c r="A141" t="s">
        <v>276</v>
      </c>
      <c r="B141" t="s">
        <v>276</v>
      </c>
      <c r="C141" t="s">
        <v>307</v>
      </c>
      <c r="D141" t="s">
        <v>186</v>
      </c>
    </row>
    <row r="142" spans="1:4" x14ac:dyDescent="0.25">
      <c r="A142" t="s">
        <v>277</v>
      </c>
      <c r="B142" t="s">
        <v>277</v>
      </c>
      <c r="C142" t="s">
        <v>247</v>
      </c>
    </row>
    <row r="143" spans="1:4" x14ac:dyDescent="0.25">
      <c r="A143" t="s">
        <v>278</v>
      </c>
      <c r="B143" t="s">
        <v>278</v>
      </c>
      <c r="C143" t="s">
        <v>194</v>
      </c>
    </row>
    <row r="144" spans="1:4" x14ac:dyDescent="0.25">
      <c r="A144" t="s">
        <v>279</v>
      </c>
      <c r="B144" t="s">
        <v>279</v>
      </c>
      <c r="C144" t="s">
        <v>188</v>
      </c>
    </row>
    <row r="145" spans="1:4" x14ac:dyDescent="0.25">
      <c r="A145" t="s">
        <v>280</v>
      </c>
      <c r="B145" t="s">
        <v>280</v>
      </c>
      <c r="C145" t="s">
        <v>315</v>
      </c>
    </row>
    <row r="146" spans="1:4" x14ac:dyDescent="0.25">
      <c r="A146" t="s">
        <v>281</v>
      </c>
      <c r="B146" t="s">
        <v>281</v>
      </c>
      <c r="C146" t="s">
        <v>275</v>
      </c>
    </row>
    <row r="147" spans="1:4" x14ac:dyDescent="0.25">
      <c r="A147" t="s">
        <v>282</v>
      </c>
      <c r="B147" t="s">
        <v>282</v>
      </c>
      <c r="C147" t="s">
        <v>284</v>
      </c>
    </row>
    <row r="148" spans="1:4" x14ac:dyDescent="0.25">
      <c r="A148" t="s">
        <v>283</v>
      </c>
      <c r="B148" t="s">
        <v>283</v>
      </c>
      <c r="C148" t="s">
        <v>284</v>
      </c>
    </row>
    <row r="149" spans="1:4" x14ac:dyDescent="0.25">
      <c r="A149" t="s">
        <v>284</v>
      </c>
      <c r="B149" t="s">
        <v>284</v>
      </c>
      <c r="C149" t="s">
        <v>315</v>
      </c>
      <c r="D149" t="s">
        <v>336</v>
      </c>
    </row>
    <row r="150" spans="1:4" x14ac:dyDescent="0.25">
      <c r="A150" t="s">
        <v>285</v>
      </c>
      <c r="B150" t="s">
        <v>285</v>
      </c>
      <c r="C150" t="s">
        <v>275</v>
      </c>
    </row>
    <row r="151" spans="1:4" x14ac:dyDescent="0.25">
      <c r="A151" t="s">
        <v>286</v>
      </c>
      <c r="B151" t="s">
        <v>286</v>
      </c>
      <c r="C151" t="s">
        <v>275</v>
      </c>
      <c r="D151" t="s">
        <v>159</v>
      </c>
    </row>
    <row r="152" spans="1:4" x14ac:dyDescent="0.25">
      <c r="A152" t="s">
        <v>287</v>
      </c>
      <c r="B152" t="s">
        <v>287</v>
      </c>
      <c r="C152" t="s">
        <v>296</v>
      </c>
      <c r="D152" t="s">
        <v>323</v>
      </c>
    </row>
    <row r="153" spans="1:4" x14ac:dyDescent="0.25">
      <c r="A153" t="s">
        <v>288</v>
      </c>
      <c r="B153" t="s">
        <v>288</v>
      </c>
      <c r="C153" t="s">
        <v>315</v>
      </c>
      <c r="D153" t="s">
        <v>343</v>
      </c>
    </row>
    <row r="154" spans="1:4" x14ac:dyDescent="0.25">
      <c r="A154" t="s">
        <v>289</v>
      </c>
      <c r="B154" t="s">
        <v>289</v>
      </c>
      <c r="C154" t="s">
        <v>163</v>
      </c>
    </row>
    <row r="155" spans="1:4" x14ac:dyDescent="0.25">
      <c r="A155" t="s">
        <v>290</v>
      </c>
      <c r="B155" t="s">
        <v>290</v>
      </c>
      <c r="C155" t="s">
        <v>163</v>
      </c>
    </row>
    <row r="156" spans="1:4" x14ac:dyDescent="0.25">
      <c r="A156" t="s">
        <v>291</v>
      </c>
      <c r="B156" t="s">
        <v>291</v>
      </c>
      <c r="C156" t="s">
        <v>315</v>
      </c>
    </row>
    <row r="157" spans="1:4" x14ac:dyDescent="0.25">
      <c r="A157" t="s">
        <v>292</v>
      </c>
      <c r="B157" t="s">
        <v>292</v>
      </c>
      <c r="C157" t="s">
        <v>275</v>
      </c>
    </row>
    <row r="158" spans="1:4" x14ac:dyDescent="0.25">
      <c r="A158" t="s">
        <v>293</v>
      </c>
      <c r="B158" t="s">
        <v>293</v>
      </c>
      <c r="C158" t="s">
        <v>315</v>
      </c>
    </row>
    <row r="159" spans="1:4" x14ac:dyDescent="0.25">
      <c r="A159" t="s">
        <v>294</v>
      </c>
      <c r="B159" t="s">
        <v>294</v>
      </c>
      <c r="C159" t="s">
        <v>315</v>
      </c>
      <c r="D159" t="s">
        <v>362</v>
      </c>
    </row>
    <row r="160" spans="1:4" x14ac:dyDescent="0.25">
      <c r="A160" t="s">
        <v>295</v>
      </c>
      <c r="B160" t="s">
        <v>295</v>
      </c>
      <c r="C160" t="s">
        <v>315</v>
      </c>
      <c r="D160" t="s">
        <v>334</v>
      </c>
    </row>
    <row r="161" spans="1:5" x14ac:dyDescent="0.25">
      <c r="A161" t="s">
        <v>296</v>
      </c>
      <c r="B161" t="s">
        <v>296</v>
      </c>
      <c r="C161" t="s">
        <v>315</v>
      </c>
      <c r="D161" t="s">
        <v>329</v>
      </c>
    </row>
    <row r="162" spans="1:5" x14ac:dyDescent="0.25">
      <c r="A162" t="s">
        <v>297</v>
      </c>
      <c r="B162" t="s">
        <v>297</v>
      </c>
      <c r="C162" t="s">
        <v>143</v>
      </c>
      <c r="D162" t="s">
        <v>322</v>
      </c>
    </row>
    <row r="163" spans="1:5" x14ac:dyDescent="0.25">
      <c r="A163" t="s">
        <v>298</v>
      </c>
      <c r="B163" t="s">
        <v>298</v>
      </c>
      <c r="C163" t="s">
        <v>287</v>
      </c>
      <c r="D163" t="s">
        <v>361</v>
      </c>
    </row>
    <row r="164" spans="1:5" x14ac:dyDescent="0.25">
      <c r="A164" t="s">
        <v>299</v>
      </c>
      <c r="B164" t="s">
        <v>299</v>
      </c>
      <c r="C164" t="s">
        <v>287</v>
      </c>
      <c r="D164" t="s">
        <v>330</v>
      </c>
    </row>
    <row r="165" spans="1:5" x14ac:dyDescent="0.25">
      <c r="A165" t="s">
        <v>300</v>
      </c>
      <c r="B165" t="s">
        <v>300</v>
      </c>
      <c r="C165" t="s">
        <v>287</v>
      </c>
      <c r="D165" t="s">
        <v>324</v>
      </c>
    </row>
    <row r="166" spans="1:5" x14ac:dyDescent="0.25">
      <c r="A166" t="s">
        <v>301</v>
      </c>
      <c r="B166" t="s">
        <v>301</v>
      </c>
      <c r="C166" t="s">
        <v>302</v>
      </c>
      <c r="D166" t="s">
        <v>352</v>
      </c>
    </row>
    <row r="167" spans="1:5" x14ac:dyDescent="0.25">
      <c r="A167" t="s">
        <v>302</v>
      </c>
      <c r="B167" t="s">
        <v>302</v>
      </c>
      <c r="C167" t="s">
        <v>303</v>
      </c>
      <c r="D167" t="s">
        <v>301</v>
      </c>
    </row>
    <row r="168" spans="1:5" x14ac:dyDescent="0.25">
      <c r="A168" t="s">
        <v>303</v>
      </c>
      <c r="B168" t="s">
        <v>303</v>
      </c>
      <c r="C168" t="s">
        <v>315</v>
      </c>
      <c r="D168" t="s">
        <v>353</v>
      </c>
    </row>
    <row r="169" spans="1:5" x14ac:dyDescent="0.25">
      <c r="A169" t="s">
        <v>304</v>
      </c>
      <c r="B169" t="s">
        <v>304</v>
      </c>
      <c r="C169" t="s">
        <v>315</v>
      </c>
      <c r="D169" t="s">
        <v>356</v>
      </c>
    </row>
    <row r="170" spans="1:5" x14ac:dyDescent="0.25">
      <c r="A170" t="s">
        <v>305</v>
      </c>
      <c r="B170" t="s">
        <v>305</v>
      </c>
      <c r="C170" t="s">
        <v>178</v>
      </c>
    </row>
    <row r="171" spans="1:5" x14ac:dyDescent="0.25">
      <c r="A171" t="s">
        <v>306</v>
      </c>
      <c r="B171" t="s">
        <v>306</v>
      </c>
      <c r="C171" t="s">
        <v>310</v>
      </c>
      <c r="D171" t="s">
        <v>319</v>
      </c>
    </row>
    <row r="172" spans="1:5" x14ac:dyDescent="0.25">
      <c r="A172" t="s">
        <v>307</v>
      </c>
      <c r="B172" t="s">
        <v>307</v>
      </c>
      <c r="C172" t="s">
        <v>179</v>
      </c>
      <c r="D172" t="s">
        <v>366</v>
      </c>
    </row>
    <row r="173" spans="1:5" x14ac:dyDescent="0.25">
      <c r="A173" t="s">
        <v>308</v>
      </c>
      <c r="B173" t="s">
        <v>308</v>
      </c>
      <c r="C173" t="s">
        <v>311</v>
      </c>
      <c r="D173" t="s">
        <v>312</v>
      </c>
      <c r="E173" t="s">
        <v>312</v>
      </c>
    </row>
    <row r="174" spans="1:5" x14ac:dyDescent="0.25">
      <c r="A174" t="s">
        <v>309</v>
      </c>
      <c r="B174" t="s">
        <v>309</v>
      </c>
      <c r="C174" t="s">
        <v>310</v>
      </c>
      <c r="D174" t="s">
        <v>318</v>
      </c>
    </row>
    <row r="175" spans="1:5" x14ac:dyDescent="0.25">
      <c r="A175" t="s">
        <v>310</v>
      </c>
      <c r="B175" t="s">
        <v>310</v>
      </c>
      <c r="C175" t="s">
        <v>315</v>
      </c>
      <c r="D175" t="s">
        <v>317</v>
      </c>
    </row>
    <row r="176" spans="1:5" x14ac:dyDescent="0.25">
      <c r="A176" t="s">
        <v>311</v>
      </c>
      <c r="B176" t="s">
        <v>311</v>
      </c>
      <c r="C176" t="s">
        <v>310</v>
      </c>
      <c r="D176" t="s">
        <v>308</v>
      </c>
      <c r="E176" t="s">
        <v>308</v>
      </c>
    </row>
    <row r="177" spans="1:4" x14ac:dyDescent="0.25">
      <c r="A177" t="s">
        <v>312</v>
      </c>
      <c r="B177" t="s">
        <v>312</v>
      </c>
      <c r="C177" t="s">
        <v>308</v>
      </c>
    </row>
    <row r="178" spans="1:4" x14ac:dyDescent="0.25">
      <c r="A178" t="s">
        <v>313</v>
      </c>
      <c r="B178" t="s">
        <v>313</v>
      </c>
      <c r="C178" t="s">
        <v>310</v>
      </c>
    </row>
    <row r="179" spans="1:4" x14ac:dyDescent="0.25">
      <c r="A179" t="s">
        <v>314</v>
      </c>
      <c r="B179" t="s">
        <v>314</v>
      </c>
      <c r="C179" t="s">
        <v>310</v>
      </c>
      <c r="D179" t="s">
        <v>245</v>
      </c>
    </row>
    <row r="180" spans="1:4" x14ac:dyDescent="0.25">
      <c r="A180" t="s">
        <v>393</v>
      </c>
      <c r="B180" t="s">
        <v>393</v>
      </c>
      <c r="C180" t="s">
        <v>421</v>
      </c>
      <c r="D180" t="s">
        <v>714</v>
      </c>
    </row>
    <row r="181" spans="1:4" x14ac:dyDescent="0.25">
      <c r="A181" t="s">
        <v>394</v>
      </c>
      <c r="B181" t="s">
        <v>615</v>
      </c>
      <c r="C181" t="s">
        <v>9</v>
      </c>
      <c r="D181" t="s">
        <v>701</v>
      </c>
    </row>
    <row r="182" spans="1:4" x14ac:dyDescent="0.25">
      <c r="A182" t="s">
        <v>395</v>
      </c>
      <c r="B182" t="s">
        <v>395</v>
      </c>
      <c r="C182" t="s">
        <v>407</v>
      </c>
    </row>
    <row r="183" spans="1:4" x14ac:dyDescent="0.25">
      <c r="A183" t="s">
        <v>396</v>
      </c>
      <c r="B183" t="s">
        <v>396</v>
      </c>
      <c r="C183" t="s">
        <v>609</v>
      </c>
      <c r="D183" t="s">
        <v>727</v>
      </c>
    </row>
    <row r="184" spans="1:4" x14ac:dyDescent="0.25">
      <c r="A184" t="s">
        <v>397</v>
      </c>
      <c r="B184" t="s">
        <v>397</v>
      </c>
      <c r="C184" t="s">
        <v>609</v>
      </c>
      <c r="D184" t="s">
        <v>473</v>
      </c>
    </row>
    <row r="185" spans="1:4" x14ac:dyDescent="0.25">
      <c r="A185" t="s">
        <v>398</v>
      </c>
      <c r="B185" t="s">
        <v>398</v>
      </c>
      <c r="C185" t="s">
        <v>609</v>
      </c>
      <c r="D185" t="s">
        <v>726</v>
      </c>
    </row>
    <row r="186" spans="1:4" x14ac:dyDescent="0.25">
      <c r="A186" t="s">
        <v>399</v>
      </c>
      <c r="B186" t="s">
        <v>399</v>
      </c>
      <c r="C186" t="s">
        <v>609</v>
      </c>
      <c r="D186" t="s">
        <v>503</v>
      </c>
    </row>
    <row r="187" spans="1:4" x14ac:dyDescent="0.25">
      <c r="A187" t="s">
        <v>400</v>
      </c>
      <c r="B187" t="s">
        <v>400</v>
      </c>
      <c r="C187" t="s">
        <v>508</v>
      </c>
      <c r="D187" t="s">
        <v>742</v>
      </c>
    </row>
    <row r="188" spans="1:4" x14ac:dyDescent="0.25">
      <c r="A188" t="s">
        <v>401</v>
      </c>
      <c r="B188" t="s">
        <v>401</v>
      </c>
      <c r="C188" t="s">
        <v>407</v>
      </c>
      <c r="D188" t="s">
        <v>475</v>
      </c>
    </row>
    <row r="189" spans="1:4" x14ac:dyDescent="0.25">
      <c r="A189" t="s">
        <v>402</v>
      </c>
      <c r="B189" t="s">
        <v>402</v>
      </c>
      <c r="C189" t="s">
        <v>403</v>
      </c>
    </row>
    <row r="190" spans="1:4" x14ac:dyDescent="0.25">
      <c r="A190" t="s">
        <v>403</v>
      </c>
      <c r="B190" t="s">
        <v>403</v>
      </c>
      <c r="C190" t="s">
        <v>404</v>
      </c>
      <c r="D190" t="s">
        <v>751</v>
      </c>
    </row>
    <row r="191" spans="1:4" x14ac:dyDescent="0.25">
      <c r="A191" t="s">
        <v>404</v>
      </c>
      <c r="B191" t="s">
        <v>404</v>
      </c>
      <c r="C191" t="s">
        <v>407</v>
      </c>
      <c r="D191" t="s">
        <v>750</v>
      </c>
    </row>
    <row r="192" spans="1:4" x14ac:dyDescent="0.25">
      <c r="A192" t="s">
        <v>405</v>
      </c>
      <c r="B192" t="s">
        <v>405</v>
      </c>
      <c r="C192" t="s">
        <v>407</v>
      </c>
      <c r="D192" t="s">
        <v>406</v>
      </c>
    </row>
    <row r="193" spans="1:5" x14ac:dyDescent="0.25">
      <c r="A193" t="s">
        <v>406</v>
      </c>
      <c r="B193" t="s">
        <v>406</v>
      </c>
      <c r="C193" t="s">
        <v>405</v>
      </c>
      <c r="D193" t="s">
        <v>505</v>
      </c>
    </row>
    <row r="194" spans="1:5" x14ac:dyDescent="0.25">
      <c r="A194" t="s">
        <v>407</v>
      </c>
      <c r="B194" t="s">
        <v>407</v>
      </c>
      <c r="C194" t="s">
        <v>508</v>
      </c>
      <c r="D194" t="s">
        <v>748</v>
      </c>
    </row>
    <row r="195" spans="1:5" x14ac:dyDescent="0.25">
      <c r="A195" t="s">
        <v>408</v>
      </c>
      <c r="B195" t="s">
        <v>408</v>
      </c>
      <c r="C195" t="s">
        <v>504</v>
      </c>
      <c r="D195" t="s">
        <v>578</v>
      </c>
    </row>
    <row r="196" spans="1:5" x14ac:dyDescent="0.25">
      <c r="A196" t="s">
        <v>409</v>
      </c>
      <c r="B196" t="s">
        <v>409</v>
      </c>
      <c r="C196" t="s">
        <v>504</v>
      </c>
      <c r="D196" t="s">
        <v>579</v>
      </c>
    </row>
    <row r="197" spans="1:5" x14ac:dyDescent="0.25">
      <c r="A197" t="s">
        <v>410</v>
      </c>
      <c r="B197" t="s">
        <v>410</v>
      </c>
      <c r="C197" t="s">
        <v>411</v>
      </c>
    </row>
    <row r="198" spans="1:5" x14ac:dyDescent="0.25">
      <c r="A198" t="s">
        <v>411</v>
      </c>
      <c r="B198" t="s">
        <v>411</v>
      </c>
      <c r="C198" t="s">
        <v>508</v>
      </c>
      <c r="D198" t="s">
        <v>752</v>
      </c>
    </row>
    <row r="199" spans="1:5" x14ac:dyDescent="0.25">
      <c r="A199" t="s">
        <v>412</v>
      </c>
      <c r="B199" t="s">
        <v>412</v>
      </c>
      <c r="C199" t="s">
        <v>463</v>
      </c>
      <c r="D199" t="s">
        <v>753</v>
      </c>
    </row>
    <row r="200" spans="1:5" x14ac:dyDescent="0.25">
      <c r="A200" t="s">
        <v>413</v>
      </c>
      <c r="B200" t="s">
        <v>413</v>
      </c>
      <c r="C200" t="s">
        <v>615</v>
      </c>
      <c r="D200" t="s">
        <v>617</v>
      </c>
    </row>
    <row r="201" spans="1:5" x14ac:dyDescent="0.25">
      <c r="A201" t="s">
        <v>414</v>
      </c>
      <c r="B201" t="s">
        <v>414</v>
      </c>
      <c r="C201" t="s">
        <v>472</v>
      </c>
      <c r="D201" t="s">
        <v>513</v>
      </c>
    </row>
    <row r="202" spans="1:5" x14ac:dyDescent="0.25">
      <c r="A202" t="s">
        <v>415</v>
      </c>
      <c r="B202" t="s">
        <v>415</v>
      </c>
      <c r="C202" t="s">
        <v>615</v>
      </c>
      <c r="D202" t="s">
        <v>616</v>
      </c>
    </row>
    <row r="203" spans="1:5" x14ac:dyDescent="0.25">
      <c r="A203" t="s">
        <v>416</v>
      </c>
      <c r="B203" t="s">
        <v>416</v>
      </c>
      <c r="C203" t="s">
        <v>585</v>
      </c>
    </row>
    <row r="204" spans="1:5" x14ac:dyDescent="0.25">
      <c r="A204" t="s">
        <v>417</v>
      </c>
      <c r="B204" t="s">
        <v>417</v>
      </c>
      <c r="C204" t="s">
        <v>418</v>
      </c>
    </row>
    <row r="205" spans="1:5" x14ac:dyDescent="0.25">
      <c r="A205" t="s">
        <v>418</v>
      </c>
      <c r="B205" t="s">
        <v>418</v>
      </c>
      <c r="C205" t="s">
        <v>588</v>
      </c>
      <c r="D205" t="s">
        <v>713</v>
      </c>
    </row>
    <row r="206" spans="1:5" x14ac:dyDescent="0.25">
      <c r="A206" t="s">
        <v>419</v>
      </c>
      <c r="B206" t="s">
        <v>419</v>
      </c>
      <c r="C206" t="s">
        <v>418</v>
      </c>
    </row>
    <row r="207" spans="1:5" x14ac:dyDescent="0.25">
      <c r="A207" t="s">
        <v>420</v>
      </c>
      <c r="B207" t="s">
        <v>420</v>
      </c>
      <c r="C207" t="s">
        <v>472</v>
      </c>
      <c r="D207" t="s">
        <v>431</v>
      </c>
      <c r="E207" t="s">
        <v>431</v>
      </c>
    </row>
    <row r="208" spans="1:5" x14ac:dyDescent="0.25">
      <c r="A208" t="s">
        <v>421</v>
      </c>
      <c r="B208" t="s">
        <v>421</v>
      </c>
      <c r="C208" t="s">
        <v>615</v>
      </c>
      <c r="D208" t="s">
        <v>700</v>
      </c>
    </row>
    <row r="209" spans="1:5" x14ac:dyDescent="0.25">
      <c r="A209" t="s">
        <v>422</v>
      </c>
      <c r="B209" t="s">
        <v>422</v>
      </c>
      <c r="C209" t="s">
        <v>423</v>
      </c>
      <c r="D209" t="s">
        <v>460</v>
      </c>
      <c r="E209" t="s">
        <v>460</v>
      </c>
    </row>
    <row r="210" spans="1:5" x14ac:dyDescent="0.25">
      <c r="A210" t="s">
        <v>423</v>
      </c>
      <c r="B210" t="s">
        <v>423</v>
      </c>
      <c r="C210" t="s">
        <v>522</v>
      </c>
      <c r="D210" t="s">
        <v>756</v>
      </c>
      <c r="E210" t="s">
        <v>756</v>
      </c>
    </row>
    <row r="211" spans="1:5" x14ac:dyDescent="0.25">
      <c r="A211" t="s">
        <v>424</v>
      </c>
      <c r="B211" t="s">
        <v>424</v>
      </c>
      <c r="C211" t="s">
        <v>456</v>
      </c>
    </row>
    <row r="212" spans="1:5" x14ac:dyDescent="0.25">
      <c r="A212" t="s">
        <v>425</v>
      </c>
      <c r="B212" t="s">
        <v>425</v>
      </c>
      <c r="C212" t="s">
        <v>465</v>
      </c>
    </row>
    <row r="213" spans="1:5" x14ac:dyDescent="0.25">
      <c r="A213" t="s">
        <v>426</v>
      </c>
      <c r="B213" t="s">
        <v>426</v>
      </c>
      <c r="C213" t="s">
        <v>465</v>
      </c>
    </row>
    <row r="214" spans="1:5" x14ac:dyDescent="0.25">
      <c r="A214" t="s">
        <v>427</v>
      </c>
      <c r="B214" t="s">
        <v>427</v>
      </c>
      <c r="C214" t="s">
        <v>613</v>
      </c>
    </row>
    <row r="215" spans="1:5" x14ac:dyDescent="0.25">
      <c r="A215" t="s">
        <v>428</v>
      </c>
      <c r="B215" t="s">
        <v>428</v>
      </c>
      <c r="C215" t="s">
        <v>540</v>
      </c>
    </row>
    <row r="216" spans="1:5" x14ac:dyDescent="0.25">
      <c r="A216" t="s">
        <v>429</v>
      </c>
      <c r="B216" t="s">
        <v>429</v>
      </c>
      <c r="C216" t="s">
        <v>415</v>
      </c>
    </row>
    <row r="217" spans="1:5" x14ac:dyDescent="0.25">
      <c r="A217" t="s">
        <v>430</v>
      </c>
      <c r="B217" t="s">
        <v>430</v>
      </c>
      <c r="C217" t="s">
        <v>421</v>
      </c>
    </row>
    <row r="218" spans="1:5" x14ac:dyDescent="0.25">
      <c r="A218" t="s">
        <v>431</v>
      </c>
      <c r="B218" t="s">
        <v>431</v>
      </c>
      <c r="C218" t="s">
        <v>420</v>
      </c>
      <c r="D218" t="s">
        <v>720</v>
      </c>
      <c r="E218" t="s">
        <v>720</v>
      </c>
    </row>
    <row r="219" spans="1:5" x14ac:dyDescent="0.25">
      <c r="A219" t="s">
        <v>432</v>
      </c>
      <c r="B219" t="s">
        <v>432</v>
      </c>
      <c r="C219" t="s">
        <v>519</v>
      </c>
    </row>
    <row r="220" spans="1:5" x14ac:dyDescent="0.25">
      <c r="A220" t="s">
        <v>433</v>
      </c>
      <c r="B220" t="s">
        <v>433</v>
      </c>
      <c r="C220" t="s">
        <v>526</v>
      </c>
    </row>
    <row r="221" spans="1:5" x14ac:dyDescent="0.25">
      <c r="A221" t="s">
        <v>434</v>
      </c>
      <c r="B221" t="s">
        <v>434</v>
      </c>
      <c r="C221" t="s">
        <v>472</v>
      </c>
    </row>
    <row r="222" spans="1:5" x14ac:dyDescent="0.25">
      <c r="A222" t="s">
        <v>435</v>
      </c>
      <c r="B222" t="s">
        <v>435</v>
      </c>
      <c r="C222" t="s">
        <v>564</v>
      </c>
    </row>
    <row r="223" spans="1:5" x14ac:dyDescent="0.25">
      <c r="A223" t="s">
        <v>436</v>
      </c>
      <c r="B223" t="s">
        <v>436</v>
      </c>
      <c r="C223" t="s">
        <v>415</v>
      </c>
    </row>
    <row r="224" spans="1:5" x14ac:dyDescent="0.25">
      <c r="A224" t="s">
        <v>437</v>
      </c>
      <c r="B224" t="s">
        <v>437</v>
      </c>
      <c r="C224" t="s">
        <v>588</v>
      </c>
    </row>
    <row r="225" spans="1:5" x14ac:dyDescent="0.25">
      <c r="A225" t="s">
        <v>438</v>
      </c>
      <c r="B225" t="s">
        <v>438</v>
      </c>
      <c r="C225" t="s">
        <v>588</v>
      </c>
    </row>
    <row r="226" spans="1:5" x14ac:dyDescent="0.25">
      <c r="A226" t="s">
        <v>439</v>
      </c>
      <c r="B226" t="s">
        <v>439</v>
      </c>
      <c r="C226" t="s">
        <v>471</v>
      </c>
    </row>
    <row r="227" spans="1:5" x14ac:dyDescent="0.25">
      <c r="A227" t="s">
        <v>440</v>
      </c>
      <c r="B227" t="s">
        <v>440</v>
      </c>
      <c r="C227" t="s">
        <v>423</v>
      </c>
    </row>
    <row r="228" spans="1:5" x14ac:dyDescent="0.25">
      <c r="A228" t="s">
        <v>441</v>
      </c>
      <c r="B228" t="s">
        <v>441</v>
      </c>
      <c r="C228" t="s">
        <v>524</v>
      </c>
    </row>
    <row r="229" spans="1:5" x14ac:dyDescent="0.25">
      <c r="A229" t="s">
        <v>442</v>
      </c>
      <c r="B229" t="s">
        <v>442</v>
      </c>
      <c r="C229" t="s">
        <v>533</v>
      </c>
    </row>
    <row r="230" spans="1:5" x14ac:dyDescent="0.25">
      <c r="A230" t="s">
        <v>443</v>
      </c>
      <c r="B230" t="s">
        <v>443</v>
      </c>
      <c r="C230" t="s">
        <v>522</v>
      </c>
    </row>
    <row r="231" spans="1:5" x14ac:dyDescent="0.25">
      <c r="A231" t="s">
        <v>444</v>
      </c>
      <c r="B231" t="s">
        <v>444</v>
      </c>
      <c r="C231" t="s">
        <v>471</v>
      </c>
    </row>
    <row r="232" spans="1:5" x14ac:dyDescent="0.25">
      <c r="A232" t="s">
        <v>445</v>
      </c>
      <c r="B232" t="s">
        <v>445</v>
      </c>
      <c r="C232" t="s">
        <v>518</v>
      </c>
    </row>
    <row r="233" spans="1:5" x14ac:dyDescent="0.25">
      <c r="A233" t="s">
        <v>446</v>
      </c>
      <c r="B233" t="s">
        <v>446</v>
      </c>
      <c r="C233" t="s">
        <v>585</v>
      </c>
    </row>
    <row r="234" spans="1:5" x14ac:dyDescent="0.25">
      <c r="A234" t="s">
        <v>447</v>
      </c>
      <c r="B234" t="s">
        <v>447</v>
      </c>
      <c r="C234" t="s">
        <v>585</v>
      </c>
    </row>
    <row r="235" spans="1:5" x14ac:dyDescent="0.25">
      <c r="A235" t="s">
        <v>448</v>
      </c>
      <c r="B235" t="s">
        <v>448</v>
      </c>
      <c r="C235" t="s">
        <v>421</v>
      </c>
      <c r="D235" t="s">
        <v>704</v>
      </c>
      <c r="E235" t="s">
        <v>704</v>
      </c>
    </row>
    <row r="236" spans="1:5" x14ac:dyDescent="0.25">
      <c r="A236" t="s">
        <v>449</v>
      </c>
      <c r="B236" t="s">
        <v>449</v>
      </c>
      <c r="C236" t="s">
        <v>540</v>
      </c>
    </row>
    <row r="237" spans="1:5" x14ac:dyDescent="0.25">
      <c r="A237" t="s">
        <v>450</v>
      </c>
      <c r="B237" t="s">
        <v>450</v>
      </c>
      <c r="C237" t="s">
        <v>613</v>
      </c>
    </row>
    <row r="238" spans="1:5" x14ac:dyDescent="0.25">
      <c r="A238" t="s">
        <v>451</v>
      </c>
      <c r="B238" t="s">
        <v>451</v>
      </c>
      <c r="C238" t="s">
        <v>564</v>
      </c>
    </row>
    <row r="239" spans="1:5" x14ac:dyDescent="0.25">
      <c r="A239" t="s">
        <v>452</v>
      </c>
      <c r="B239" t="s">
        <v>452</v>
      </c>
      <c r="C239" t="s">
        <v>587</v>
      </c>
    </row>
    <row r="240" spans="1:5" x14ac:dyDescent="0.25">
      <c r="A240" t="s">
        <v>453</v>
      </c>
      <c r="B240" t="s">
        <v>453</v>
      </c>
      <c r="C240" t="s">
        <v>587</v>
      </c>
    </row>
    <row r="241" spans="1:5" x14ac:dyDescent="0.25">
      <c r="A241" t="s">
        <v>454</v>
      </c>
      <c r="B241" t="s">
        <v>454</v>
      </c>
      <c r="C241" t="s">
        <v>448</v>
      </c>
    </row>
    <row r="242" spans="1:5" x14ac:dyDescent="0.25">
      <c r="A242" t="s">
        <v>455</v>
      </c>
      <c r="B242" t="s">
        <v>455</v>
      </c>
      <c r="C242" t="s">
        <v>472</v>
      </c>
    </row>
    <row r="243" spans="1:5" x14ac:dyDescent="0.25">
      <c r="A243" t="s">
        <v>456</v>
      </c>
      <c r="B243" t="s">
        <v>456</v>
      </c>
      <c r="C243" t="s">
        <v>520</v>
      </c>
      <c r="D243" t="s">
        <v>424</v>
      </c>
    </row>
    <row r="244" spans="1:5" x14ac:dyDescent="0.25">
      <c r="A244" t="s">
        <v>457</v>
      </c>
      <c r="B244" t="s">
        <v>457</v>
      </c>
      <c r="C244" t="s">
        <v>615</v>
      </c>
    </row>
    <row r="245" spans="1:5" x14ac:dyDescent="0.25">
      <c r="A245" t="s">
        <v>458</v>
      </c>
      <c r="B245" t="s">
        <v>458</v>
      </c>
      <c r="C245" t="s">
        <v>562</v>
      </c>
      <c r="D245" t="s">
        <v>544</v>
      </c>
      <c r="E245" t="s">
        <v>544</v>
      </c>
    </row>
    <row r="246" spans="1:5" x14ac:dyDescent="0.25">
      <c r="A246" t="s">
        <v>459</v>
      </c>
      <c r="B246" t="s">
        <v>459</v>
      </c>
      <c r="C246" t="s">
        <v>520</v>
      </c>
    </row>
    <row r="247" spans="1:5" x14ac:dyDescent="0.25">
      <c r="A247" t="s">
        <v>460</v>
      </c>
      <c r="B247" t="s">
        <v>460</v>
      </c>
    </row>
    <row r="248" spans="1:5" x14ac:dyDescent="0.25">
      <c r="A248" t="s">
        <v>461</v>
      </c>
      <c r="B248" t="s">
        <v>461</v>
      </c>
      <c r="C248" t="s">
        <v>525</v>
      </c>
    </row>
    <row r="249" spans="1:5" x14ac:dyDescent="0.25">
      <c r="A249" t="s">
        <v>462</v>
      </c>
      <c r="B249" t="s">
        <v>462</v>
      </c>
      <c r="C249" t="s">
        <v>536</v>
      </c>
    </row>
    <row r="250" spans="1:5" x14ac:dyDescent="0.25">
      <c r="A250" t="s">
        <v>463</v>
      </c>
      <c r="B250" t="s">
        <v>463</v>
      </c>
      <c r="C250" t="s">
        <v>615</v>
      </c>
      <c r="D250" t="s">
        <v>716</v>
      </c>
    </row>
    <row r="251" spans="1:5" x14ac:dyDescent="0.25">
      <c r="A251" t="s">
        <v>464</v>
      </c>
      <c r="B251" t="s">
        <v>464</v>
      </c>
      <c r="C251" t="s">
        <v>569</v>
      </c>
    </row>
    <row r="252" spans="1:5" x14ac:dyDescent="0.25">
      <c r="A252" t="s">
        <v>465</v>
      </c>
      <c r="B252" t="s">
        <v>465</v>
      </c>
      <c r="C252" t="s">
        <v>533</v>
      </c>
      <c r="D252" t="s">
        <v>737</v>
      </c>
    </row>
    <row r="253" spans="1:5" x14ac:dyDescent="0.25">
      <c r="A253" t="s">
        <v>466</v>
      </c>
      <c r="B253" t="s">
        <v>466</v>
      </c>
      <c r="C253" t="s">
        <v>530</v>
      </c>
    </row>
    <row r="254" spans="1:5" x14ac:dyDescent="0.25">
      <c r="A254" t="s">
        <v>467</v>
      </c>
      <c r="B254" t="s">
        <v>467</v>
      </c>
      <c r="C254" t="s">
        <v>530</v>
      </c>
    </row>
    <row r="255" spans="1:5" x14ac:dyDescent="0.25">
      <c r="A255" t="s">
        <v>468</v>
      </c>
      <c r="B255" t="s">
        <v>468</v>
      </c>
      <c r="C255" t="s">
        <v>615</v>
      </c>
    </row>
    <row r="256" spans="1:5" x14ac:dyDescent="0.25">
      <c r="A256" t="s">
        <v>469</v>
      </c>
      <c r="B256" t="s">
        <v>469</v>
      </c>
      <c r="C256" t="s">
        <v>615</v>
      </c>
    </row>
    <row r="257" spans="1:5" x14ac:dyDescent="0.25">
      <c r="A257" t="s">
        <v>470</v>
      </c>
      <c r="B257" t="s">
        <v>470</v>
      </c>
      <c r="C257" t="s">
        <v>512</v>
      </c>
    </row>
    <row r="258" spans="1:5" x14ac:dyDescent="0.25">
      <c r="A258" t="s">
        <v>471</v>
      </c>
      <c r="B258" t="s">
        <v>471</v>
      </c>
      <c r="C258" t="s">
        <v>615</v>
      </c>
      <c r="D258" t="s">
        <v>717</v>
      </c>
    </row>
    <row r="259" spans="1:5" x14ac:dyDescent="0.25">
      <c r="A259" t="s">
        <v>472</v>
      </c>
      <c r="B259" t="s">
        <v>472</v>
      </c>
      <c r="C259" t="s">
        <v>615</v>
      </c>
      <c r="D259" t="s">
        <v>719</v>
      </c>
    </row>
    <row r="260" spans="1:5" x14ac:dyDescent="0.25">
      <c r="A260" t="s">
        <v>473</v>
      </c>
      <c r="B260" t="s">
        <v>473</v>
      </c>
      <c r="C260" t="s">
        <v>397</v>
      </c>
    </row>
    <row r="261" spans="1:5" x14ac:dyDescent="0.25">
      <c r="A261" t="s">
        <v>474</v>
      </c>
      <c r="B261" t="s">
        <v>474</v>
      </c>
      <c r="C261" t="s">
        <v>404</v>
      </c>
    </row>
    <row r="262" spans="1:5" x14ac:dyDescent="0.25">
      <c r="A262" t="s">
        <v>475</v>
      </c>
      <c r="B262" t="s">
        <v>475</v>
      </c>
      <c r="C262" t="s">
        <v>401</v>
      </c>
    </row>
    <row r="263" spans="1:5" x14ac:dyDescent="0.25">
      <c r="A263" t="s">
        <v>476</v>
      </c>
      <c r="B263" t="s">
        <v>476</v>
      </c>
      <c r="C263" t="s">
        <v>403</v>
      </c>
    </row>
    <row r="264" spans="1:5" x14ac:dyDescent="0.25">
      <c r="A264" t="s">
        <v>477</v>
      </c>
      <c r="B264" t="s">
        <v>477</v>
      </c>
      <c r="C264" t="s">
        <v>404</v>
      </c>
    </row>
    <row r="265" spans="1:5" x14ac:dyDescent="0.25">
      <c r="A265" t="s">
        <v>478</v>
      </c>
      <c r="B265" t="s">
        <v>478</v>
      </c>
      <c r="C265" t="s">
        <v>479</v>
      </c>
      <c r="D265" t="s">
        <v>731</v>
      </c>
      <c r="E265" t="s">
        <v>732</v>
      </c>
    </row>
    <row r="266" spans="1:5" x14ac:dyDescent="0.25">
      <c r="A266" t="s">
        <v>479</v>
      </c>
      <c r="B266" t="s">
        <v>479</v>
      </c>
      <c r="C266" t="s">
        <v>480</v>
      </c>
      <c r="D266" t="s">
        <v>478</v>
      </c>
      <c r="E266" t="s">
        <v>478</v>
      </c>
    </row>
    <row r="267" spans="1:5" x14ac:dyDescent="0.25">
      <c r="A267" t="s">
        <v>480</v>
      </c>
      <c r="B267" t="s">
        <v>480</v>
      </c>
      <c r="C267" t="s">
        <v>564</v>
      </c>
      <c r="D267" t="s">
        <v>730</v>
      </c>
      <c r="E267" t="s">
        <v>730</v>
      </c>
    </row>
    <row r="268" spans="1:5" x14ac:dyDescent="0.25">
      <c r="A268" t="s">
        <v>481</v>
      </c>
      <c r="B268" t="s">
        <v>481</v>
      </c>
      <c r="C268" t="s">
        <v>549</v>
      </c>
      <c r="D268" t="s">
        <v>734</v>
      </c>
      <c r="E268" t="s">
        <v>734</v>
      </c>
    </row>
    <row r="269" spans="1:5" x14ac:dyDescent="0.25">
      <c r="A269" t="s">
        <v>482</v>
      </c>
      <c r="B269" t="s">
        <v>482</v>
      </c>
      <c r="C269" t="s">
        <v>398</v>
      </c>
    </row>
    <row r="270" spans="1:5" x14ac:dyDescent="0.25">
      <c r="A270" t="s">
        <v>483</v>
      </c>
      <c r="B270" t="s">
        <v>483</v>
      </c>
      <c r="C270" t="s">
        <v>589</v>
      </c>
    </row>
    <row r="271" spans="1:5" x14ac:dyDescent="0.25">
      <c r="A271" t="s">
        <v>484</v>
      </c>
      <c r="B271" t="s">
        <v>484</v>
      </c>
      <c r="C271" t="s">
        <v>548</v>
      </c>
    </row>
    <row r="272" spans="1:5" x14ac:dyDescent="0.25">
      <c r="A272" t="s">
        <v>485</v>
      </c>
      <c r="B272" t="s">
        <v>485</v>
      </c>
      <c r="C272" t="s">
        <v>504</v>
      </c>
    </row>
    <row r="273" spans="1:5" x14ac:dyDescent="0.25">
      <c r="A273" t="s">
        <v>486</v>
      </c>
      <c r="B273" t="s">
        <v>486</v>
      </c>
      <c r="C273" t="s">
        <v>411</v>
      </c>
    </row>
    <row r="274" spans="1:5" x14ac:dyDescent="0.25">
      <c r="A274" t="s">
        <v>487</v>
      </c>
      <c r="B274" t="s">
        <v>487</v>
      </c>
      <c r="C274" t="s">
        <v>597</v>
      </c>
      <c r="D274" t="s">
        <v>499</v>
      </c>
      <c r="E274" t="s">
        <v>499</v>
      </c>
    </row>
    <row r="275" spans="1:5" x14ac:dyDescent="0.25">
      <c r="A275" t="s">
        <v>488</v>
      </c>
      <c r="B275" t="s">
        <v>488</v>
      </c>
      <c r="C275" t="s">
        <v>591</v>
      </c>
    </row>
    <row r="276" spans="1:5" x14ac:dyDescent="0.25">
      <c r="A276" t="s">
        <v>489</v>
      </c>
      <c r="B276" t="s">
        <v>489</v>
      </c>
      <c r="C276" t="s">
        <v>604</v>
      </c>
    </row>
    <row r="277" spans="1:5" x14ac:dyDescent="0.25">
      <c r="A277" t="s">
        <v>490</v>
      </c>
      <c r="B277" t="s">
        <v>490</v>
      </c>
      <c r="C277" t="s">
        <v>400</v>
      </c>
    </row>
    <row r="278" spans="1:5" x14ac:dyDescent="0.25">
      <c r="A278" t="s">
        <v>491</v>
      </c>
      <c r="B278" t="s">
        <v>491</v>
      </c>
      <c r="C278" t="s">
        <v>400</v>
      </c>
    </row>
    <row r="279" spans="1:5" x14ac:dyDescent="0.25">
      <c r="A279" t="s">
        <v>492</v>
      </c>
      <c r="B279" t="s">
        <v>492</v>
      </c>
      <c r="C279" t="s">
        <v>598</v>
      </c>
    </row>
    <row r="280" spans="1:5" x14ac:dyDescent="0.25">
      <c r="A280" t="s">
        <v>493</v>
      </c>
      <c r="B280" t="s">
        <v>493</v>
      </c>
      <c r="C280" t="s">
        <v>404</v>
      </c>
    </row>
    <row r="281" spans="1:5" x14ac:dyDescent="0.25">
      <c r="A281" t="s">
        <v>494</v>
      </c>
      <c r="B281" t="s">
        <v>494</v>
      </c>
      <c r="C281" t="s">
        <v>609</v>
      </c>
    </row>
    <row r="282" spans="1:5" x14ac:dyDescent="0.25">
      <c r="A282" t="s">
        <v>495</v>
      </c>
      <c r="B282" t="s">
        <v>495</v>
      </c>
      <c r="C282" t="s">
        <v>504</v>
      </c>
    </row>
    <row r="283" spans="1:5" x14ac:dyDescent="0.25">
      <c r="A283" t="s">
        <v>496</v>
      </c>
      <c r="B283" t="s">
        <v>496</v>
      </c>
      <c r="C283" t="s">
        <v>396</v>
      </c>
    </row>
    <row r="284" spans="1:5" x14ac:dyDescent="0.25">
      <c r="A284" t="s">
        <v>497</v>
      </c>
      <c r="B284" t="s">
        <v>497</v>
      </c>
      <c r="C284" t="s">
        <v>514</v>
      </c>
    </row>
    <row r="285" spans="1:5" x14ac:dyDescent="0.25">
      <c r="A285" t="s">
        <v>498</v>
      </c>
      <c r="B285" t="s">
        <v>498</v>
      </c>
      <c r="C285" t="s">
        <v>478</v>
      </c>
    </row>
    <row r="286" spans="1:5" x14ac:dyDescent="0.25">
      <c r="A286" t="s">
        <v>499</v>
      </c>
      <c r="B286" t="s">
        <v>499</v>
      </c>
      <c r="C286" t="s">
        <v>487</v>
      </c>
    </row>
    <row r="287" spans="1:5" x14ac:dyDescent="0.25">
      <c r="A287" t="s">
        <v>500</v>
      </c>
      <c r="B287" t="s">
        <v>500</v>
      </c>
      <c r="C287" t="s">
        <v>591</v>
      </c>
    </row>
    <row r="288" spans="1:5" x14ac:dyDescent="0.25">
      <c r="A288" t="s">
        <v>501</v>
      </c>
      <c r="B288" t="s">
        <v>501</v>
      </c>
      <c r="C288" t="s">
        <v>478</v>
      </c>
    </row>
    <row r="289" spans="1:5" x14ac:dyDescent="0.25">
      <c r="A289" t="s">
        <v>502</v>
      </c>
      <c r="B289" t="s">
        <v>502</v>
      </c>
      <c r="C289" t="s">
        <v>398</v>
      </c>
    </row>
    <row r="290" spans="1:5" x14ac:dyDescent="0.25">
      <c r="A290" t="s">
        <v>503</v>
      </c>
      <c r="B290" t="s">
        <v>503</v>
      </c>
      <c r="C290" t="s">
        <v>399</v>
      </c>
    </row>
    <row r="291" spans="1:5" x14ac:dyDescent="0.25">
      <c r="A291" t="s">
        <v>504</v>
      </c>
      <c r="B291" t="s">
        <v>504</v>
      </c>
      <c r="C291" t="s">
        <v>615</v>
      </c>
      <c r="D291" t="s">
        <v>724</v>
      </c>
    </row>
    <row r="292" spans="1:5" x14ac:dyDescent="0.25">
      <c r="A292" t="s">
        <v>505</v>
      </c>
      <c r="B292" t="s">
        <v>505</v>
      </c>
      <c r="C292" t="s">
        <v>406</v>
      </c>
    </row>
    <row r="293" spans="1:5" x14ac:dyDescent="0.25">
      <c r="A293" t="s">
        <v>506</v>
      </c>
      <c r="B293" t="s">
        <v>506</v>
      </c>
      <c r="C293" t="s">
        <v>404</v>
      </c>
    </row>
    <row r="294" spans="1:5" x14ac:dyDescent="0.25">
      <c r="A294" t="s">
        <v>507</v>
      </c>
      <c r="B294" t="s">
        <v>507</v>
      </c>
      <c r="C294" t="s">
        <v>607</v>
      </c>
    </row>
    <row r="295" spans="1:5" x14ac:dyDescent="0.25">
      <c r="A295" t="s">
        <v>508</v>
      </c>
      <c r="B295" t="s">
        <v>508</v>
      </c>
      <c r="C295" t="s">
        <v>615</v>
      </c>
      <c r="D295" t="s">
        <v>741</v>
      </c>
    </row>
    <row r="296" spans="1:5" x14ac:dyDescent="0.25">
      <c r="A296" t="s">
        <v>509</v>
      </c>
      <c r="B296" t="s">
        <v>509</v>
      </c>
      <c r="C296" t="s">
        <v>472</v>
      </c>
    </row>
    <row r="297" spans="1:5" x14ac:dyDescent="0.25">
      <c r="A297" t="s">
        <v>510</v>
      </c>
      <c r="B297" t="s">
        <v>510</v>
      </c>
      <c r="C297" t="s">
        <v>431</v>
      </c>
    </row>
    <row r="298" spans="1:5" x14ac:dyDescent="0.25">
      <c r="A298" t="s">
        <v>511</v>
      </c>
      <c r="B298" t="s">
        <v>511</v>
      </c>
      <c r="C298" t="s">
        <v>431</v>
      </c>
    </row>
    <row r="299" spans="1:5" x14ac:dyDescent="0.25">
      <c r="A299" t="s">
        <v>512</v>
      </c>
      <c r="B299" t="s">
        <v>512</v>
      </c>
      <c r="C299" t="s">
        <v>472</v>
      </c>
      <c r="D299" t="s">
        <v>470</v>
      </c>
      <c r="E299" t="s">
        <v>470</v>
      </c>
    </row>
    <row r="300" spans="1:5" x14ac:dyDescent="0.25">
      <c r="A300" t="s">
        <v>513</v>
      </c>
      <c r="B300" t="s">
        <v>513</v>
      </c>
      <c r="C300" t="s">
        <v>414</v>
      </c>
    </row>
    <row r="301" spans="1:5" x14ac:dyDescent="0.25">
      <c r="A301" t="s">
        <v>514</v>
      </c>
      <c r="B301" t="s">
        <v>514</v>
      </c>
      <c r="C301" t="s">
        <v>472</v>
      </c>
      <c r="D301" t="s">
        <v>721</v>
      </c>
    </row>
    <row r="302" spans="1:5" x14ac:dyDescent="0.25">
      <c r="A302" t="s">
        <v>515</v>
      </c>
      <c r="B302" t="s">
        <v>515</v>
      </c>
      <c r="C302" t="s">
        <v>514</v>
      </c>
    </row>
    <row r="303" spans="1:5" x14ac:dyDescent="0.25">
      <c r="A303" t="s">
        <v>516</v>
      </c>
      <c r="B303" t="s">
        <v>516</v>
      </c>
      <c r="C303" t="s">
        <v>514</v>
      </c>
    </row>
    <row r="304" spans="1:5" x14ac:dyDescent="0.25">
      <c r="A304" t="s">
        <v>517</v>
      </c>
      <c r="B304" t="s">
        <v>517</v>
      </c>
      <c r="C304" t="s">
        <v>518</v>
      </c>
    </row>
    <row r="305" spans="1:5" x14ac:dyDescent="0.25">
      <c r="A305" t="s">
        <v>518</v>
      </c>
      <c r="B305" t="s">
        <v>518</v>
      </c>
      <c r="C305" t="s">
        <v>514</v>
      </c>
      <c r="D305" t="s">
        <v>722</v>
      </c>
      <c r="E305" t="s">
        <v>445</v>
      </c>
    </row>
    <row r="306" spans="1:5" x14ac:dyDescent="0.25">
      <c r="A306" t="s">
        <v>519</v>
      </c>
      <c r="B306" t="s">
        <v>519</v>
      </c>
      <c r="C306" t="s">
        <v>522</v>
      </c>
      <c r="D306" t="s">
        <v>432</v>
      </c>
    </row>
    <row r="307" spans="1:5" x14ac:dyDescent="0.25">
      <c r="A307" t="s">
        <v>520</v>
      </c>
      <c r="B307" t="s">
        <v>520</v>
      </c>
      <c r="C307" t="s">
        <v>522</v>
      </c>
      <c r="D307" t="s">
        <v>740</v>
      </c>
    </row>
    <row r="308" spans="1:5" x14ac:dyDescent="0.25">
      <c r="A308" t="s">
        <v>521</v>
      </c>
      <c r="B308" t="s">
        <v>521</v>
      </c>
      <c r="C308" t="s">
        <v>522</v>
      </c>
    </row>
    <row r="309" spans="1:5" x14ac:dyDescent="0.25">
      <c r="A309" t="s">
        <v>522</v>
      </c>
      <c r="B309" t="s">
        <v>522</v>
      </c>
      <c r="C309" t="s">
        <v>615</v>
      </c>
      <c r="D309" t="s">
        <v>755</v>
      </c>
    </row>
    <row r="310" spans="1:5" x14ac:dyDescent="0.25">
      <c r="A310" t="s">
        <v>523</v>
      </c>
      <c r="B310" t="s">
        <v>523</v>
      </c>
      <c r="C310" t="s">
        <v>524</v>
      </c>
    </row>
    <row r="311" spans="1:5" x14ac:dyDescent="0.25">
      <c r="A311" t="s">
        <v>524</v>
      </c>
      <c r="B311" t="s">
        <v>524</v>
      </c>
      <c r="C311" t="s">
        <v>525</v>
      </c>
      <c r="D311" t="s">
        <v>739</v>
      </c>
      <c r="E311" t="s">
        <v>739</v>
      </c>
    </row>
    <row r="312" spans="1:5" x14ac:dyDescent="0.25">
      <c r="A312" t="s">
        <v>525</v>
      </c>
      <c r="B312" t="s">
        <v>525</v>
      </c>
      <c r="C312" t="s">
        <v>615</v>
      </c>
      <c r="D312" t="s">
        <v>738</v>
      </c>
      <c r="E312" t="s">
        <v>738</v>
      </c>
    </row>
    <row r="313" spans="1:5" x14ac:dyDescent="0.25">
      <c r="A313" t="s">
        <v>526</v>
      </c>
      <c r="B313" t="s">
        <v>526</v>
      </c>
      <c r="C313" t="s">
        <v>615</v>
      </c>
      <c r="D313" t="s">
        <v>723</v>
      </c>
      <c r="E313" t="s">
        <v>723</v>
      </c>
    </row>
    <row r="314" spans="1:5" x14ac:dyDescent="0.25">
      <c r="A314" t="s">
        <v>527</v>
      </c>
      <c r="B314" t="s">
        <v>527</v>
      </c>
      <c r="C314" t="s">
        <v>526</v>
      </c>
    </row>
    <row r="315" spans="1:5" x14ac:dyDescent="0.25">
      <c r="A315" t="s">
        <v>528</v>
      </c>
      <c r="B315" t="s">
        <v>528</v>
      </c>
      <c r="C315" t="s">
        <v>533</v>
      </c>
    </row>
    <row r="316" spans="1:5" x14ac:dyDescent="0.25">
      <c r="A316" t="s">
        <v>529</v>
      </c>
      <c r="B316" t="s">
        <v>529</v>
      </c>
      <c r="C316" t="s">
        <v>533</v>
      </c>
    </row>
    <row r="317" spans="1:5" x14ac:dyDescent="0.25">
      <c r="A317" t="s">
        <v>530</v>
      </c>
      <c r="B317" t="s">
        <v>530</v>
      </c>
      <c r="C317" t="s">
        <v>533</v>
      </c>
      <c r="D317" t="s">
        <v>736</v>
      </c>
      <c r="E317" t="s">
        <v>736</v>
      </c>
    </row>
    <row r="318" spans="1:5" x14ac:dyDescent="0.25">
      <c r="A318" t="s">
        <v>531</v>
      </c>
      <c r="B318" t="s">
        <v>531</v>
      </c>
      <c r="C318" t="s">
        <v>533</v>
      </c>
    </row>
    <row r="319" spans="1:5" x14ac:dyDescent="0.25">
      <c r="A319" t="s">
        <v>532</v>
      </c>
      <c r="B319" t="s">
        <v>532</v>
      </c>
      <c r="C319" t="s">
        <v>533</v>
      </c>
    </row>
    <row r="320" spans="1:5" x14ac:dyDescent="0.25">
      <c r="A320" t="s">
        <v>533</v>
      </c>
      <c r="B320" t="s">
        <v>533</v>
      </c>
      <c r="C320" t="s">
        <v>564</v>
      </c>
      <c r="D320" t="s">
        <v>735</v>
      </c>
    </row>
    <row r="321" spans="1:5" x14ac:dyDescent="0.25">
      <c r="A321" t="s">
        <v>534</v>
      </c>
      <c r="B321" t="s">
        <v>534</v>
      </c>
      <c r="C321" t="s">
        <v>535</v>
      </c>
    </row>
    <row r="322" spans="1:5" x14ac:dyDescent="0.25">
      <c r="A322" t="s">
        <v>535</v>
      </c>
      <c r="B322" t="s">
        <v>535</v>
      </c>
      <c r="C322" t="s">
        <v>536</v>
      </c>
      <c r="D322" t="s">
        <v>534</v>
      </c>
      <c r="E322" t="s">
        <v>534</v>
      </c>
    </row>
    <row r="323" spans="1:5" x14ac:dyDescent="0.25">
      <c r="A323" t="s">
        <v>536</v>
      </c>
      <c r="B323" t="s">
        <v>536</v>
      </c>
      <c r="C323" t="s">
        <v>448</v>
      </c>
      <c r="D323" t="s">
        <v>705</v>
      </c>
      <c r="E323" t="s">
        <v>705</v>
      </c>
    </row>
    <row r="324" spans="1:5" x14ac:dyDescent="0.25">
      <c r="A324" t="s">
        <v>537</v>
      </c>
      <c r="B324" t="s">
        <v>537</v>
      </c>
      <c r="C324" t="s">
        <v>421</v>
      </c>
    </row>
    <row r="325" spans="1:5" x14ac:dyDescent="0.25">
      <c r="A325" t="s">
        <v>538</v>
      </c>
      <c r="B325" t="s">
        <v>538</v>
      </c>
      <c r="C325" t="s">
        <v>421</v>
      </c>
    </row>
    <row r="326" spans="1:5" x14ac:dyDescent="0.25">
      <c r="A326" t="s">
        <v>539</v>
      </c>
      <c r="B326" t="s">
        <v>539</v>
      </c>
      <c r="C326" t="s">
        <v>540</v>
      </c>
    </row>
    <row r="327" spans="1:5" x14ac:dyDescent="0.25">
      <c r="A327" t="s">
        <v>540</v>
      </c>
      <c r="B327" t="s">
        <v>540</v>
      </c>
      <c r="C327" t="s">
        <v>613</v>
      </c>
      <c r="D327" t="s">
        <v>709</v>
      </c>
    </row>
    <row r="328" spans="1:5" x14ac:dyDescent="0.25">
      <c r="A328" t="s">
        <v>541</v>
      </c>
      <c r="B328" t="s">
        <v>541</v>
      </c>
      <c r="C328" t="s">
        <v>543</v>
      </c>
    </row>
    <row r="329" spans="1:5" x14ac:dyDescent="0.25">
      <c r="A329" t="s">
        <v>542</v>
      </c>
      <c r="B329" t="s">
        <v>542</v>
      </c>
      <c r="C329" t="s">
        <v>543</v>
      </c>
    </row>
    <row r="330" spans="1:5" x14ac:dyDescent="0.25">
      <c r="A330" t="s">
        <v>543</v>
      </c>
      <c r="B330" t="s">
        <v>543</v>
      </c>
      <c r="C330" t="s">
        <v>421</v>
      </c>
      <c r="D330" t="s">
        <v>702</v>
      </c>
      <c r="E330" t="s">
        <v>702</v>
      </c>
    </row>
    <row r="331" spans="1:5" x14ac:dyDescent="0.25">
      <c r="A331" t="s">
        <v>544</v>
      </c>
      <c r="B331" t="s">
        <v>544</v>
      </c>
      <c r="C331" t="s">
        <v>458</v>
      </c>
    </row>
    <row r="332" spans="1:5" x14ac:dyDescent="0.25">
      <c r="A332" t="s">
        <v>545</v>
      </c>
      <c r="B332" t="s">
        <v>545</v>
      </c>
      <c r="C332" t="s">
        <v>562</v>
      </c>
    </row>
    <row r="333" spans="1:5" x14ac:dyDescent="0.25">
      <c r="A333" t="s">
        <v>546</v>
      </c>
      <c r="B333" t="s">
        <v>546</v>
      </c>
      <c r="C333" t="s">
        <v>481</v>
      </c>
    </row>
    <row r="334" spans="1:5" x14ac:dyDescent="0.25">
      <c r="A334" t="s">
        <v>547</v>
      </c>
      <c r="B334" t="s">
        <v>547</v>
      </c>
      <c r="C334" t="s">
        <v>481</v>
      </c>
    </row>
    <row r="335" spans="1:5" x14ac:dyDescent="0.25">
      <c r="A335" t="s">
        <v>548</v>
      </c>
      <c r="B335" t="s">
        <v>548</v>
      </c>
      <c r="C335" t="s">
        <v>549</v>
      </c>
      <c r="D335" t="s">
        <v>484</v>
      </c>
      <c r="E335" t="s">
        <v>484</v>
      </c>
    </row>
    <row r="336" spans="1:5" x14ac:dyDescent="0.25">
      <c r="A336" t="s">
        <v>549</v>
      </c>
      <c r="B336" t="s">
        <v>549</v>
      </c>
      <c r="C336" t="s">
        <v>480</v>
      </c>
      <c r="D336" t="s">
        <v>733</v>
      </c>
      <c r="E336" t="s">
        <v>733</v>
      </c>
    </row>
    <row r="337" spans="1:5" x14ac:dyDescent="0.25">
      <c r="A337" t="s">
        <v>550</v>
      </c>
      <c r="B337" t="s">
        <v>550</v>
      </c>
      <c r="C337" t="s">
        <v>396</v>
      </c>
    </row>
    <row r="338" spans="1:5" x14ac:dyDescent="0.25">
      <c r="A338" t="s">
        <v>551</v>
      </c>
      <c r="B338" t="s">
        <v>551</v>
      </c>
      <c r="C338" t="s">
        <v>396</v>
      </c>
    </row>
    <row r="339" spans="1:5" x14ac:dyDescent="0.25">
      <c r="A339" t="s">
        <v>552</v>
      </c>
      <c r="B339" t="s">
        <v>552</v>
      </c>
      <c r="C339" t="s">
        <v>396</v>
      </c>
    </row>
    <row r="340" spans="1:5" x14ac:dyDescent="0.25">
      <c r="A340" t="s">
        <v>553</v>
      </c>
      <c r="B340" t="s">
        <v>553</v>
      </c>
      <c r="C340" t="s">
        <v>609</v>
      </c>
    </row>
    <row r="341" spans="1:5" x14ac:dyDescent="0.25">
      <c r="A341" t="s">
        <v>554</v>
      </c>
      <c r="B341" t="s">
        <v>554</v>
      </c>
      <c r="C341" t="s">
        <v>407</v>
      </c>
    </row>
    <row r="342" spans="1:5" x14ac:dyDescent="0.25">
      <c r="A342" t="s">
        <v>555</v>
      </c>
      <c r="B342" t="s">
        <v>555</v>
      </c>
      <c r="C342" t="s">
        <v>556</v>
      </c>
    </row>
    <row r="343" spans="1:5" x14ac:dyDescent="0.25">
      <c r="A343" t="s">
        <v>556</v>
      </c>
      <c r="B343" t="s">
        <v>556</v>
      </c>
      <c r="C343" t="s">
        <v>478</v>
      </c>
      <c r="D343" t="s">
        <v>555</v>
      </c>
    </row>
    <row r="344" spans="1:5" x14ac:dyDescent="0.25">
      <c r="A344" t="s">
        <v>557</v>
      </c>
      <c r="B344" t="s">
        <v>557</v>
      </c>
      <c r="C344" t="s">
        <v>559</v>
      </c>
    </row>
    <row r="345" spans="1:5" x14ac:dyDescent="0.25">
      <c r="A345" t="s">
        <v>558</v>
      </c>
      <c r="B345" t="s">
        <v>558</v>
      </c>
      <c r="C345" t="s">
        <v>559</v>
      </c>
    </row>
    <row r="346" spans="1:5" x14ac:dyDescent="0.25">
      <c r="A346" t="s">
        <v>559</v>
      </c>
      <c r="B346" t="s">
        <v>559</v>
      </c>
      <c r="C346" t="s">
        <v>413</v>
      </c>
      <c r="D346" t="s">
        <v>618</v>
      </c>
      <c r="E346" t="s">
        <v>618</v>
      </c>
    </row>
    <row r="347" spans="1:5" x14ac:dyDescent="0.25">
      <c r="A347" t="s">
        <v>560</v>
      </c>
      <c r="B347" t="s">
        <v>560</v>
      </c>
      <c r="C347" t="s">
        <v>413</v>
      </c>
    </row>
    <row r="348" spans="1:5" x14ac:dyDescent="0.25">
      <c r="A348" t="s">
        <v>561</v>
      </c>
      <c r="B348" t="s">
        <v>561</v>
      </c>
      <c r="C348" t="s">
        <v>393</v>
      </c>
    </row>
    <row r="349" spans="1:5" x14ac:dyDescent="0.25">
      <c r="A349" t="s">
        <v>562</v>
      </c>
      <c r="B349" t="s">
        <v>562</v>
      </c>
      <c r="C349" t="s">
        <v>393</v>
      </c>
      <c r="D349" t="s">
        <v>715</v>
      </c>
      <c r="E349" t="s">
        <v>715</v>
      </c>
    </row>
    <row r="350" spans="1:5" x14ac:dyDescent="0.25">
      <c r="A350" t="s">
        <v>563</v>
      </c>
      <c r="B350" t="s">
        <v>563</v>
      </c>
      <c r="C350" t="s">
        <v>564</v>
      </c>
    </row>
    <row r="351" spans="1:5" x14ac:dyDescent="0.25">
      <c r="A351" t="s">
        <v>564</v>
      </c>
      <c r="B351" t="s">
        <v>564</v>
      </c>
      <c r="C351" t="s">
        <v>615</v>
      </c>
      <c r="D351" t="s">
        <v>729</v>
      </c>
    </row>
    <row r="352" spans="1:5" x14ac:dyDescent="0.25">
      <c r="A352" t="s">
        <v>565</v>
      </c>
      <c r="B352" t="s">
        <v>565</v>
      </c>
      <c r="C352" t="s">
        <v>471</v>
      </c>
    </row>
    <row r="353" spans="1:5" x14ac:dyDescent="0.25">
      <c r="A353" t="s">
        <v>566</v>
      </c>
      <c r="B353" t="s">
        <v>566</v>
      </c>
      <c r="C353" t="s">
        <v>415</v>
      </c>
    </row>
    <row r="354" spans="1:5" x14ac:dyDescent="0.25">
      <c r="A354" t="s">
        <v>567</v>
      </c>
      <c r="B354" t="s">
        <v>567</v>
      </c>
      <c r="C354" t="s">
        <v>415</v>
      </c>
    </row>
    <row r="355" spans="1:5" x14ac:dyDescent="0.25">
      <c r="A355" t="s">
        <v>568</v>
      </c>
      <c r="B355" t="s">
        <v>568</v>
      </c>
      <c r="C355" t="s">
        <v>569</v>
      </c>
    </row>
    <row r="356" spans="1:5" x14ac:dyDescent="0.25">
      <c r="A356" t="s">
        <v>569</v>
      </c>
      <c r="B356" t="s">
        <v>569</v>
      </c>
      <c r="C356" t="s">
        <v>471</v>
      </c>
      <c r="D356" t="s">
        <v>718</v>
      </c>
    </row>
    <row r="357" spans="1:5" x14ac:dyDescent="0.25">
      <c r="A357" t="s">
        <v>570</v>
      </c>
      <c r="B357" t="s">
        <v>570</v>
      </c>
      <c r="C357" t="s">
        <v>572</v>
      </c>
    </row>
    <row r="358" spans="1:5" x14ac:dyDescent="0.25">
      <c r="A358" t="s">
        <v>571</v>
      </c>
      <c r="B358" t="s">
        <v>571</v>
      </c>
      <c r="C358" t="s">
        <v>572</v>
      </c>
    </row>
    <row r="359" spans="1:5" x14ac:dyDescent="0.25">
      <c r="A359" t="s">
        <v>572</v>
      </c>
      <c r="B359" t="s">
        <v>572</v>
      </c>
      <c r="C359" t="s">
        <v>588</v>
      </c>
      <c r="D359" t="s">
        <v>711</v>
      </c>
    </row>
    <row r="360" spans="1:5" x14ac:dyDescent="0.25">
      <c r="A360" t="s">
        <v>573</v>
      </c>
      <c r="B360" t="s">
        <v>573</v>
      </c>
      <c r="C360" t="s">
        <v>588</v>
      </c>
    </row>
    <row r="361" spans="1:5" x14ac:dyDescent="0.25">
      <c r="A361" t="s">
        <v>574</v>
      </c>
      <c r="B361" t="s">
        <v>574</v>
      </c>
      <c r="C361" t="s">
        <v>421</v>
      </c>
      <c r="D361" t="s">
        <v>703</v>
      </c>
      <c r="E361" t="s">
        <v>703</v>
      </c>
    </row>
    <row r="362" spans="1:5" x14ac:dyDescent="0.25">
      <c r="A362" t="s">
        <v>575</v>
      </c>
      <c r="B362" t="s">
        <v>575</v>
      </c>
      <c r="C362" t="s">
        <v>574</v>
      </c>
    </row>
    <row r="363" spans="1:5" x14ac:dyDescent="0.25">
      <c r="A363" t="s">
        <v>576</v>
      </c>
      <c r="B363" t="s">
        <v>576</v>
      </c>
      <c r="C363" t="s">
        <v>574</v>
      </c>
    </row>
    <row r="364" spans="1:5" x14ac:dyDescent="0.25">
      <c r="A364" t="s">
        <v>577</v>
      </c>
      <c r="B364" t="s">
        <v>577</v>
      </c>
      <c r="C364" t="s">
        <v>589</v>
      </c>
    </row>
    <row r="365" spans="1:5" x14ac:dyDescent="0.25">
      <c r="A365" t="s">
        <v>578</v>
      </c>
      <c r="B365" t="s">
        <v>578</v>
      </c>
      <c r="C365" t="s">
        <v>408</v>
      </c>
    </row>
    <row r="366" spans="1:5" x14ac:dyDescent="0.25">
      <c r="A366" t="s">
        <v>579</v>
      </c>
      <c r="B366" t="s">
        <v>579</v>
      </c>
      <c r="C366" t="s">
        <v>409</v>
      </c>
    </row>
    <row r="367" spans="1:5" x14ac:dyDescent="0.25">
      <c r="A367" t="s">
        <v>580</v>
      </c>
      <c r="B367" t="s">
        <v>580</v>
      </c>
      <c r="C367" t="s">
        <v>613</v>
      </c>
      <c r="D367" t="s">
        <v>708</v>
      </c>
    </row>
    <row r="368" spans="1:5" x14ac:dyDescent="0.25">
      <c r="A368" t="s">
        <v>581</v>
      </c>
      <c r="B368" t="s">
        <v>581</v>
      </c>
      <c r="C368" t="s">
        <v>580</v>
      </c>
    </row>
    <row r="369" spans="1:5" x14ac:dyDescent="0.25">
      <c r="A369" t="s">
        <v>582</v>
      </c>
      <c r="B369" t="s">
        <v>582</v>
      </c>
      <c r="C369" t="s">
        <v>580</v>
      </c>
    </row>
    <row r="370" spans="1:5" x14ac:dyDescent="0.25">
      <c r="A370" t="s">
        <v>583</v>
      </c>
      <c r="B370" t="s">
        <v>583</v>
      </c>
      <c r="C370" t="s">
        <v>585</v>
      </c>
    </row>
    <row r="371" spans="1:5" x14ac:dyDescent="0.25">
      <c r="A371" t="s">
        <v>584</v>
      </c>
      <c r="B371" t="s">
        <v>584</v>
      </c>
      <c r="C371" t="s">
        <v>585</v>
      </c>
    </row>
    <row r="372" spans="1:5" x14ac:dyDescent="0.25">
      <c r="A372" t="s">
        <v>585</v>
      </c>
      <c r="B372" t="s">
        <v>585</v>
      </c>
      <c r="C372" t="s">
        <v>588</v>
      </c>
      <c r="D372" t="s">
        <v>757</v>
      </c>
    </row>
    <row r="373" spans="1:5" x14ac:dyDescent="0.25">
      <c r="A373" t="s">
        <v>586</v>
      </c>
      <c r="B373" t="s">
        <v>586</v>
      </c>
      <c r="C373" t="s">
        <v>418</v>
      </c>
    </row>
    <row r="374" spans="1:5" x14ac:dyDescent="0.25">
      <c r="A374" t="s">
        <v>587</v>
      </c>
      <c r="B374" t="s">
        <v>587</v>
      </c>
      <c r="C374" t="s">
        <v>588</v>
      </c>
      <c r="D374" t="s">
        <v>712</v>
      </c>
      <c r="E374" t="s">
        <v>712</v>
      </c>
    </row>
    <row r="375" spans="1:5" x14ac:dyDescent="0.25">
      <c r="A375" t="s">
        <v>588</v>
      </c>
      <c r="B375" t="s">
        <v>588</v>
      </c>
      <c r="C375" t="s">
        <v>421</v>
      </c>
      <c r="D375" t="s">
        <v>710</v>
      </c>
    </row>
    <row r="376" spans="1:5" x14ac:dyDescent="0.25">
      <c r="A376" t="s">
        <v>589</v>
      </c>
      <c r="B376" t="s">
        <v>589</v>
      </c>
      <c r="C376" t="s">
        <v>508</v>
      </c>
      <c r="D376" t="s">
        <v>754</v>
      </c>
    </row>
    <row r="377" spans="1:5" x14ac:dyDescent="0.25">
      <c r="A377" t="s">
        <v>590</v>
      </c>
      <c r="B377" t="s">
        <v>590</v>
      </c>
      <c r="C377" t="s">
        <v>591</v>
      </c>
    </row>
    <row r="378" spans="1:5" x14ac:dyDescent="0.25">
      <c r="A378" t="s">
        <v>591</v>
      </c>
      <c r="B378" t="s">
        <v>591</v>
      </c>
      <c r="C378" t="s">
        <v>400</v>
      </c>
      <c r="D378" t="s">
        <v>743</v>
      </c>
      <c r="E378" t="s">
        <v>744</v>
      </c>
    </row>
    <row r="379" spans="1:5" x14ac:dyDescent="0.25">
      <c r="A379" t="s">
        <v>592</v>
      </c>
      <c r="B379" t="s">
        <v>592</v>
      </c>
      <c r="C379" t="s">
        <v>400</v>
      </c>
    </row>
    <row r="380" spans="1:5" x14ac:dyDescent="0.25">
      <c r="A380" t="s">
        <v>593</v>
      </c>
      <c r="B380" t="s">
        <v>593</v>
      </c>
      <c r="C380" t="s">
        <v>400</v>
      </c>
    </row>
    <row r="381" spans="1:5" x14ac:dyDescent="0.25">
      <c r="A381" t="s">
        <v>594</v>
      </c>
      <c r="B381" t="s">
        <v>594</v>
      </c>
      <c r="C381" t="s">
        <v>596</v>
      </c>
    </row>
    <row r="382" spans="1:5" x14ac:dyDescent="0.25">
      <c r="A382" t="s">
        <v>595</v>
      </c>
      <c r="B382" t="s">
        <v>595</v>
      </c>
      <c r="C382" t="s">
        <v>596</v>
      </c>
    </row>
    <row r="383" spans="1:5" x14ac:dyDescent="0.25">
      <c r="A383" t="s">
        <v>596</v>
      </c>
      <c r="B383" t="s">
        <v>596</v>
      </c>
      <c r="C383" t="s">
        <v>597</v>
      </c>
      <c r="D383" t="s">
        <v>747</v>
      </c>
      <c r="E383" t="s">
        <v>747</v>
      </c>
    </row>
    <row r="384" spans="1:5" x14ac:dyDescent="0.25">
      <c r="A384" t="s">
        <v>597</v>
      </c>
      <c r="B384" t="s">
        <v>597</v>
      </c>
      <c r="C384" t="s">
        <v>598</v>
      </c>
      <c r="D384" t="s">
        <v>746</v>
      </c>
      <c r="E384" t="s">
        <v>746</v>
      </c>
    </row>
    <row r="385" spans="1:5" x14ac:dyDescent="0.25">
      <c r="A385" t="s">
        <v>598</v>
      </c>
      <c r="B385" t="s">
        <v>598</v>
      </c>
      <c r="C385" t="s">
        <v>400</v>
      </c>
      <c r="D385" t="s">
        <v>745</v>
      </c>
      <c r="E385" t="s">
        <v>745</v>
      </c>
    </row>
    <row r="386" spans="1:5" x14ac:dyDescent="0.25">
      <c r="A386" t="s">
        <v>599</v>
      </c>
      <c r="B386" t="s">
        <v>599</v>
      </c>
      <c r="C386" t="s">
        <v>412</v>
      </c>
    </row>
    <row r="387" spans="1:5" x14ac:dyDescent="0.25">
      <c r="A387" t="s">
        <v>600</v>
      </c>
      <c r="B387" t="s">
        <v>600</v>
      </c>
      <c r="C387" t="s">
        <v>601</v>
      </c>
    </row>
    <row r="388" spans="1:5" x14ac:dyDescent="0.25">
      <c r="A388" t="s">
        <v>601</v>
      </c>
      <c r="B388" t="s">
        <v>601</v>
      </c>
      <c r="C388" t="s">
        <v>412</v>
      </c>
      <c r="D388" t="s">
        <v>600</v>
      </c>
    </row>
    <row r="389" spans="1:5" x14ac:dyDescent="0.25">
      <c r="A389" t="s">
        <v>602</v>
      </c>
      <c r="B389" t="s">
        <v>602</v>
      </c>
      <c r="C389" t="s">
        <v>604</v>
      </c>
      <c r="D389" t="s">
        <v>603</v>
      </c>
    </row>
    <row r="390" spans="1:5" x14ac:dyDescent="0.25">
      <c r="A390" t="s">
        <v>603</v>
      </c>
      <c r="B390" t="s">
        <v>603</v>
      </c>
      <c r="C390" t="s">
        <v>602</v>
      </c>
    </row>
    <row r="391" spans="1:5" x14ac:dyDescent="0.25">
      <c r="A391" t="s">
        <v>604</v>
      </c>
      <c r="B391" t="s">
        <v>604</v>
      </c>
      <c r="C391" t="s">
        <v>396</v>
      </c>
      <c r="D391" t="s">
        <v>728</v>
      </c>
    </row>
    <row r="392" spans="1:5" x14ac:dyDescent="0.25">
      <c r="A392" t="s">
        <v>605</v>
      </c>
      <c r="B392" t="s">
        <v>605</v>
      </c>
      <c r="C392" t="s">
        <v>607</v>
      </c>
    </row>
    <row r="393" spans="1:5" x14ac:dyDescent="0.25">
      <c r="A393" t="s">
        <v>606</v>
      </c>
      <c r="B393" t="s">
        <v>606</v>
      </c>
      <c r="C393" t="s">
        <v>411</v>
      </c>
    </row>
    <row r="394" spans="1:5" x14ac:dyDescent="0.25">
      <c r="A394" t="s">
        <v>607</v>
      </c>
      <c r="B394" t="s">
        <v>607</v>
      </c>
      <c r="C394" t="s">
        <v>407</v>
      </c>
      <c r="D394" t="s">
        <v>749</v>
      </c>
    </row>
    <row r="395" spans="1:5" x14ac:dyDescent="0.25">
      <c r="A395" t="s">
        <v>608</v>
      </c>
      <c r="B395" t="s">
        <v>608</v>
      </c>
      <c r="C395" t="s">
        <v>463</v>
      </c>
    </row>
    <row r="396" spans="1:5" x14ac:dyDescent="0.25">
      <c r="A396" t="s">
        <v>609</v>
      </c>
      <c r="B396" t="s">
        <v>609</v>
      </c>
      <c r="C396" t="s">
        <v>615</v>
      </c>
      <c r="D396" t="s">
        <v>725</v>
      </c>
    </row>
    <row r="397" spans="1:5" x14ac:dyDescent="0.25">
      <c r="A397" t="s">
        <v>610</v>
      </c>
      <c r="B397" t="s">
        <v>610</v>
      </c>
      <c r="C397" t="s">
        <v>421</v>
      </c>
      <c r="D397" t="s">
        <v>706</v>
      </c>
      <c r="E397" t="s">
        <v>706</v>
      </c>
    </row>
    <row r="398" spans="1:5" x14ac:dyDescent="0.25">
      <c r="A398" t="s">
        <v>611</v>
      </c>
      <c r="B398" t="s">
        <v>611</v>
      </c>
      <c r="C398" t="s">
        <v>610</v>
      </c>
    </row>
    <row r="399" spans="1:5" x14ac:dyDescent="0.25">
      <c r="A399" t="s">
        <v>612</v>
      </c>
      <c r="B399" t="s">
        <v>612</v>
      </c>
      <c r="C399" t="s">
        <v>610</v>
      </c>
    </row>
    <row r="400" spans="1:5" x14ac:dyDescent="0.25">
      <c r="A400" t="s">
        <v>613</v>
      </c>
      <c r="B400" t="s">
        <v>613</v>
      </c>
      <c r="C400" t="s">
        <v>421</v>
      </c>
      <c r="D400" t="s">
        <v>707</v>
      </c>
    </row>
  </sheetData>
  <conditionalFormatting sqref="G2:G400">
    <cfRule type="containsBlanks" dxfId="1" priority="1">
      <formula>LEN(TRIM(G2))=0</formula>
    </cfRule>
    <cfRule type="notContainsBlanks" dxfId="0" priority="2">
      <formula>LEN(TRIM(G2))&gt;0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MasterSheet</vt:lpstr>
      <vt:lpstr>arteries</vt:lpstr>
      <vt:lpstr>veins-sup</vt:lpstr>
      <vt:lpstr>veins-inf</vt:lpstr>
      <vt:lpstr>A-V Mapping</vt:lpstr>
      <vt:lpstr>Dwell Time Calcs</vt:lpstr>
      <vt:lpstr>Pulm</vt:lpstr>
      <vt:lpstr>PulmArtOld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Cassidy Northway</dc:creator>
  <cp:lastModifiedBy>cbn@student.ubc.ca</cp:lastModifiedBy>
  <dcterms:created xsi:type="dcterms:W3CDTF">2023-07-04T22:06:43Z</dcterms:created>
  <dcterms:modified xsi:type="dcterms:W3CDTF">2025-02-05T00:33:00Z</dcterms:modified>
</cp:coreProperties>
</file>