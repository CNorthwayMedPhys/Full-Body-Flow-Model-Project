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PHSAhome2.phsabc.ehcnet.ca\Cassidy.Northway\Remote Git\"/>
    </mc:Choice>
  </mc:AlternateContent>
  <xr:revisionPtr revIDLastSave="0" documentId="13_ncr:1_{D88780F9-E565-48E8-A616-D3D1849825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sterSheet" sheetId="9" r:id="rId1"/>
    <sheet name="arteries" sheetId="1" r:id="rId2"/>
    <sheet name="veins-sup" sheetId="2" r:id="rId3"/>
    <sheet name="veins-inf" sheetId="5" r:id="rId4"/>
    <sheet name="A-V Mapping" sheetId="6" r:id="rId5"/>
    <sheet name="Dwell Time Calcs" sheetId="7" r:id="rId6"/>
    <sheet name="Pulm" sheetId="8" r:id="rId7"/>
    <sheet name="PulmArtOld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E8" i="7"/>
  <c r="E7" i="7"/>
  <c r="D4" i="7"/>
  <c r="E3" i="7"/>
  <c r="E5" i="7"/>
  <c r="B19" i="7"/>
  <c r="D19" i="7" s="1"/>
  <c r="E19" i="7" s="1"/>
  <c r="D20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</calcChain>
</file>

<file path=xl/sharedStrings.xml><?xml version="1.0" encoding="utf-8"?>
<sst xmlns="http://schemas.openxmlformats.org/spreadsheetml/2006/main" count="2768" uniqueCount="1173">
  <si>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</si>
  <si>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</si>
  <si>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</si>
  <si>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</si>
  <si>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</si>
  <si>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</si>
  <si>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</si>
  <si>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</si>
  <si>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</si>
  <si>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</si>
  <si>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</si>
  <si>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</si>
  <si>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</si>
  <si>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</si>
  <si>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</si>
  <si>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</si>
  <si>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</si>
  <si>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</si>
  <si>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</si>
  <si>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</si>
  <si>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</si>
  <si>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</si>
  <si>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</si>
  <si>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</si>
  <si>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</si>
  <si>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</si>
  <si>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</si>
  <si>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</si>
  <si>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</si>
  <si>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</si>
  <si>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</si>
  <si>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</si>
  <si>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</si>
  <si>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</si>
  <si>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</si>
  <si>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</si>
  <si>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</si>
  <si>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</si>
  <si>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</si>
  <si>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</si>
  <si>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</si>
  <si>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</si>
  <si>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</si>
  <si>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</si>
  <si>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</si>
  <si>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</si>
  <si>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</si>
  <si>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</si>
  <si>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</si>
  <si>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</si>
  <si>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</si>
  <si>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</si>
  <si>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</si>
  <si>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</si>
  <si>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</si>
  <si>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</si>
  <si>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</si>
  <si>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</si>
  <si>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</si>
  <si>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</si>
  <si>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</si>
  <si>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</si>
  <si>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</si>
  <si>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</si>
  <si>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</si>
  <si>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</si>
  <si>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</si>
  <si>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</si>
  <si>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</si>
  <si>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</si>
  <si>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</si>
  <si>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</si>
  <si>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</si>
  <si>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</si>
  <si>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</si>
  <si>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</si>
  <si>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</si>
  <si>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</si>
  <si>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</si>
  <si>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</si>
  <si>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</si>
  <si>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</si>
  <si>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</si>
  <si>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</si>
  <si>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</si>
  <si>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</si>
  <si>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</si>
  <si>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</si>
  <si>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</si>
  <si>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</si>
  <si>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</si>
  <si>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</si>
  <si>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</si>
  <si>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</si>
  <si>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</si>
  <si>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</si>
  <si>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</si>
  <si>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</si>
  <si>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</si>
  <si>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</si>
  <si>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</si>
  <si>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</si>
  <si>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</si>
  <si>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</si>
  <si>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</si>
  <si>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</si>
  <si>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</si>
  <si>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</si>
  <si>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</si>
  <si>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</si>
  <si>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</si>
  <si>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</si>
  <si>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</si>
  <si>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</si>
  <si>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</si>
  <si>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</si>
  <si>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</si>
  <si>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</si>
  <si>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</si>
  <si>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</si>
  <si>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</si>
  <si>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</si>
  <si>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</si>
  <si>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</si>
  <si>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</si>
  <si>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</si>
  <si>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</si>
  <si>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</si>
  <si>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</si>
  <si>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</si>
  <si>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</si>
  <si>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</si>
  <si>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</si>
  <si>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</si>
  <si>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</si>
  <si>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</si>
  <si>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</si>
  <si>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</si>
  <si>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</si>
  <si>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</si>
  <si>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</si>
  <si>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</si>
  <si>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</si>
  <si>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</si>
  <si>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</si>
  <si>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</si>
  <si>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</si>
  <si>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</si>
  <si>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</si>
  <si>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</si>
  <si>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</si>
  <si>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</si>
  <si>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</si>
  <si>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</si>
  <si>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</si>
  <si>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</si>
  <si>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</si>
  <si>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</si>
  <si>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</si>
  <si>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</si>
  <si>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</si>
  <si>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</si>
  <si>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</si>
  <si>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</si>
  <si>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</si>
  <si>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</si>
  <si>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</si>
  <si>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</si>
  <si>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</si>
  <si>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</si>
  <si>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</si>
  <si>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</si>
  <si>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</si>
  <si>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</si>
  <si>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</si>
  <si>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</si>
  <si>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</si>
  <si>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</si>
  <si>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</si>
  <si>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</si>
  <si>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</si>
  <si>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</si>
  <si>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</si>
  <si>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</si>
  <si>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</si>
  <si>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</si>
  <si>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</si>
  <si>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</si>
  <si>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</si>
  <si>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</si>
  <si>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</si>
  <si>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</si>
  <si>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</si>
  <si>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</si>
  <si>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</si>
  <si>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</si>
  <si>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</si>
  <si>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</si>
  <si>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</si>
  <si>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</si>
  <si>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</si>
  <si>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</si>
  <si>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</si>
  <si>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</si>
  <si>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</si>
  <si>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</si>
  <si>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</si>
  <si>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</si>
  <si>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</si>
  <si>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</si>
  <si>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</si>
  <si>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</si>
  <si>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</si>
  <si>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</si>
  <si>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</si>
  <si>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</si>
  <si>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</si>
  <si>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</si>
  <si>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</si>
  <si>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</si>
  <si>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</si>
  <si>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</si>
  <si>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</si>
  <si>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</si>
  <si>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</si>
  <si>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</si>
  <si>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</si>
  <si>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</si>
  <si>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</si>
  <si>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</si>
  <si>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</si>
  <si>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</si>
  <si>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</si>
  <si>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</si>
  <si>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</si>
  <si>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</si>
  <si>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</si>
  <si>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</si>
  <si>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</si>
  <si>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</si>
  <si>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</si>
  <si>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</si>
  <si>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</si>
  <si>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</si>
  <si>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</si>
  <si>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</si>
  <si>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</si>
  <si>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</si>
  <si>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</si>
  <si>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</si>
  <si>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</si>
  <si>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</si>
  <si>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</si>
  <si>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</si>
  <si>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</si>
  <si>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</si>
  <si>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</si>
  <si>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</si>
  <si>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</si>
  <si>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</si>
  <si>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</si>
  <si>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</si>
  <si>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</si>
  <si>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</si>
  <si>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</si>
  <si>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</si>
  <si>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</si>
  <si>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</si>
  <si>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</si>
  <si>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</si>
  <si>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</si>
  <si>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</si>
  <si>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</si>
  <si>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</si>
  <si>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</si>
  <si>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</si>
  <si>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</si>
  <si>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</si>
  <si>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</si>
  <si>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</si>
  <si>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</si>
  <si>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</si>
  <si>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</si>
  <si>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</si>
  <si>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</si>
  <si>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</si>
  <si>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</si>
  <si>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</si>
  <si>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</si>
  <si>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</si>
  <si>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</si>
  <si>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</si>
  <si>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</si>
  <si>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</si>
  <si>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</si>
  <si>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</si>
  <si>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</si>
  <si>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</si>
  <si>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</si>
  <si>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</si>
  <si>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</si>
  <si>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</si>
  <si>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</si>
  <si>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</si>
  <si>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</si>
  <si>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</si>
  <si>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</si>
  <si>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</si>
  <si>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</si>
  <si>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</si>
  <si>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</si>
  <si>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</si>
  <si>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</si>
  <si>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</si>
  <si>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</si>
  <si>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</si>
  <si>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</si>
  <si>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</si>
  <si>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</si>
  <si>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</si>
  <si>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</si>
  <si>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</si>
  <si>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</si>
  <si>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</si>
  <si>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</si>
  <si>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</si>
  <si>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</si>
  <si>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</si>
  <si>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</si>
  <si>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</si>
  <si>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</si>
  <si>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</si>
  <si>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</si>
  <si>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</si>
  <si>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</si>
  <si>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</si>
  <si>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</si>
  <si>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</si>
  <si>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</si>
  <si>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</si>
  <si>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</si>
  <si>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</si>
  <si>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</si>
  <si>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</si>
  <si>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</si>
  <si>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</si>
  <si>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</si>
  <si>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</si>
  <si>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</si>
  <si>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</si>
  <si>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</si>
  <si>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</si>
  <si>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</si>
  <si>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</si>
  <si>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</si>
  <si>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</si>
  <si>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</si>
  <si>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</si>
  <si>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</si>
  <si>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</si>
  <si>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</si>
  <si>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</si>
  <si>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</si>
  <si>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</si>
  <si>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</si>
  <si>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</si>
  <si>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</si>
  <si>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</si>
  <si>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</si>
  <si>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</si>
  <si>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</si>
  <si>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</si>
  <si>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</si>
  <si>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</si>
  <si>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</si>
  <si>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</si>
  <si>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</si>
  <si>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</si>
  <si>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</si>
  <si>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</si>
  <si>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</si>
  <si>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</si>
  <si>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</si>
  <si>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</si>
  <si>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</si>
  <si>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</si>
  <si>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</si>
  <si>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</si>
  <si>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</si>
  <si>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</si>
  <si>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</si>
  <si>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</si>
  <si>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</si>
  <si>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</si>
  <si>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</si>
  <si>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</si>
  <si>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</si>
  <si>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</si>
  <si>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</si>
  <si>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</si>
  <si>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</si>
  <si>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</si>
  <si>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</si>
  <si>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</si>
  <si>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</si>
  <si>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</si>
  <si>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</si>
  <si>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</si>
  <si>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</si>
  <si>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</si>
  <si>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</si>
  <si>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</si>
  <si>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</si>
  <si>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</si>
  <si>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</si>
  <si>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</si>
  <si>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</si>
  <si>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</si>
  <si>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</si>
  <si>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</si>
  <si>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</si>
  <si>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</si>
  <si>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</si>
  <si>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</si>
  <si>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</si>
  <si>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</si>
  <si>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</si>
  <si>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</si>
  <si>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</si>
  <si>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</si>
  <si>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</si>
  <si>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</si>
  <si>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</si>
  <si>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</si>
  <si>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</si>
  <si>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</si>
  <si>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</si>
  <si>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</si>
  <si>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</si>
  <si>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</si>
  <si>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</si>
  <si>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</si>
  <si>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</si>
  <si>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</si>
  <si>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</si>
  <si>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</si>
  <si>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</si>
  <si>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</si>
  <si>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</si>
  <si>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</si>
  <si>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</si>
  <si>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</si>
  <si>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</si>
  <si>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</si>
  <si>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</si>
  <si>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</si>
  <si>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</si>
  <si>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</si>
  <si>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</si>
  <si>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</si>
  <si>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</si>
  <si>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</si>
  <si>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</si>
  <si>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</si>
  <si>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</si>
  <si>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</si>
  <si>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</si>
  <si>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</si>
  <si>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</si>
  <si>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</si>
  <si>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</si>
  <si>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</si>
  <si>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</si>
  <si>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</si>
  <si>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</si>
  <si>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</si>
  <si>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</si>
  <si>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</si>
  <si>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</si>
  <si>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</si>
  <si>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</si>
  <si>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</si>
  <si>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</si>
  <si>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</si>
  <si>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</si>
  <si>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</si>
  <si>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</si>
  <si>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</si>
  <si>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</si>
  <si>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</si>
  <si>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</si>
  <si>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</si>
  <si>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</si>
  <si>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</si>
  <si>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</si>
  <si>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</si>
  <si>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</si>
  <si>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</si>
  <si>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</si>
  <si>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</si>
  <si>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</si>
  <si>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</si>
  <si>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</si>
  <si>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</si>
  <si>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</si>
  <si>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</si>
  <si>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</si>
  <si>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</si>
  <si>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</si>
  <si>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</si>
  <si>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</si>
  <si>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</si>
  <si>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</si>
  <si>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</si>
  <si>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</si>
  <si>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</si>
  <si>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</si>
  <si>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</si>
  <si>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</si>
  <si>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</si>
  <si>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</si>
  <si>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</si>
  <si>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</si>
  <si>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</si>
  <si>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</si>
  <si>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</si>
  <si>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</si>
  <si>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</si>
  <si>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</si>
  <si>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</si>
  <si>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</si>
  <si>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</si>
  <si>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</si>
  <si>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</si>
  <si>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</si>
  <si>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</si>
  <si>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</si>
  <si>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</si>
  <si>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</si>
  <si>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</si>
  <si>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</si>
  <si>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</si>
  <si>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</si>
  <si>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</si>
  <si>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</si>
  <si>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</si>
  <si>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</si>
  <si>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</si>
  <si>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</si>
  <si>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</si>
  <si>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</si>
  <si>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</si>
  <si>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</si>
  <si>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</si>
  <si>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</si>
  <si>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</si>
  <si>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</si>
  <si>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</si>
  <si>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</si>
  <si>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</si>
  <si>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</si>
  <si>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</si>
  <si>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</si>
  <si>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</si>
  <si>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</si>
  <si>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</si>
  <si>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</si>
  <si>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</si>
  <si>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</si>
  <si>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</si>
  <si>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</si>
  <si>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</si>
  <si>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</si>
  <si>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</si>
  <si>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</si>
  <si>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</si>
  <si>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</si>
  <si>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</si>
  <si>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</si>
  <si>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</si>
  <si>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</si>
  <si>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</si>
  <si>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</si>
  <si>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</si>
  <si>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</si>
  <si>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</si>
  <si>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</si>
  <si>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</si>
  <si>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</si>
  <si>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</si>
  <si>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</si>
  <si>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</si>
  <si>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</si>
  <si>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</si>
  <si>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</si>
  <si>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</si>
  <si>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</si>
  <si>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</si>
  <si>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</si>
  <si>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</si>
  <si>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</si>
  <si>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</si>
  <si>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</si>
  <si>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</si>
  <si>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</si>
  <si>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</si>
  <si>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</si>
  <si>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</si>
  <si>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</si>
  <si>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</si>
  <si>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</si>
  <si>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</si>
  <si>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</si>
  <si>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</si>
  <si>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</si>
  <si>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</si>
  <si>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</si>
  <si>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</si>
  <si>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</si>
  <si>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</si>
  <si>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</si>
  <si>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</si>
  <si>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</si>
  <si>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</si>
  <si>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</si>
  <si>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</si>
  <si>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</si>
  <si>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</si>
  <si>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</si>
  <si>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</si>
  <si>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</si>
  <si>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</si>
  <si>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</si>
  <si>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</si>
  <si>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</si>
  <si>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</si>
  <si>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</si>
  <si>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</si>
  <si>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</si>
  <si>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</si>
  <si>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</si>
  <si>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</si>
  <si>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</si>
  <si>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</si>
  <si>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</si>
  <si>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</si>
  <si>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</si>
  <si>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</si>
  <si>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</si>
  <si>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</si>
  <si>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</si>
  <si>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</si>
  <si>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</si>
  <si>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</si>
  <si>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</si>
  <si>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</si>
  <si>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</si>
  <si>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</si>
  <si>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</si>
  <si>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</si>
  <si>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</si>
  <si>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</si>
  <si>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</si>
  <si>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</si>
  <si>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</si>
  <si>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</si>
  <si>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</si>
  <si>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</si>
  <si>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</si>
  <si>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</si>
  <si>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</si>
  <si>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</si>
  <si>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</si>
  <si>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</si>
  <si>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</si>
  <si>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</si>
  <si>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</si>
  <si>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</si>
  <si>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</si>
  <si>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</si>
  <si>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</si>
  <si>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</si>
  <si>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</si>
  <si>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</si>
  <si>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</si>
  <si>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</si>
  <si>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</si>
  <si>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</si>
  <si>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</si>
  <si>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</si>
  <si>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</si>
  <si>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</si>
  <si>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</si>
  <si>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</si>
  <si>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</si>
  <si>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</si>
  <si>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</si>
  <si>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</si>
  <si>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</si>
  <si>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</si>
  <si>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</si>
  <si>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</si>
  <si>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</si>
  <si>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</si>
  <si>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</si>
  <si>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</si>
  <si>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</si>
  <si>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</si>
  <si>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</si>
  <si>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</si>
  <si>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</si>
  <si>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</si>
  <si>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</si>
  <si>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</si>
  <si>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</si>
  <si>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</si>
  <si>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</si>
  <si>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</si>
  <si>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</si>
  <si>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</si>
  <si>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</si>
  <si>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</si>
  <si>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</si>
  <si>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</si>
  <si>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</si>
  <si>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</si>
  <si>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</si>
  <si>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</si>
  <si>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</si>
  <si>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</si>
  <si>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</si>
  <si>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</si>
  <si>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</si>
  <si>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</si>
  <si>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</si>
  <si>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</si>
  <si>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</si>
  <si>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</si>
  <si>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</si>
  <si>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</si>
  <si>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</si>
  <si>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</si>
  <si>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</si>
  <si>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</si>
  <si>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</si>
  <si>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</si>
  <si>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</si>
  <si>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</si>
  <si>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</si>
  <si>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</si>
  <si>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</si>
  <si>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</si>
  <si>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</si>
  <si>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</si>
  <si>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</si>
  <si>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</si>
  <si>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</si>
  <si>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</si>
  <si>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</si>
  <si>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</si>
  <si>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</si>
  <si>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</si>
  <si>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</si>
  <si>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</si>
  <si>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</si>
  <si>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</si>
  <si>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</si>
  <si>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</si>
  <si>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</si>
  <si>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</si>
  <si>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</si>
  <si>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</si>
  <si>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</si>
  <si>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</si>
  <si>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</si>
  <si>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</si>
  <si>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</si>
  <si>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</si>
  <si>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</si>
  <si>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</si>
  <si>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</si>
  <si>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</si>
  <si>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</si>
  <si>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</si>
  <si>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</si>
  <si>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</si>
  <si>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</si>
  <si>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</si>
  <si>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</si>
  <si>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</si>
  <si>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</si>
  <si>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</si>
  <si>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</si>
  <si>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</si>
  <si>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</si>
  <si>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</si>
  <si>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</si>
  <si>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</si>
  <si>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</si>
  <si>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</si>
  <si>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</si>
  <si>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</si>
  <si>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</si>
  <si>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</si>
  <si>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</si>
  <si>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</si>
  <si>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</si>
  <si>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</si>
  <si>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</si>
  <si>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</si>
  <si>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</si>
  <si>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</si>
  <si>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</si>
  <si>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</si>
  <si>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</si>
  <si>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</si>
  <si>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</si>
  <si>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</si>
  <si>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</si>
  <si>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</si>
  <si>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</si>
  <si>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</si>
  <si>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</si>
  <si>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</si>
  <si>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</si>
  <si>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</si>
  <si>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</si>
  <si>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</si>
  <si>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</si>
  <si>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</si>
  <si>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</si>
  <si>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</si>
  <si>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</si>
  <si>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</si>
  <si>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</si>
  <si>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</si>
  <si>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</si>
  <si>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</si>
  <si>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</si>
  <si>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</si>
  <si>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</si>
  <si>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</si>
  <si>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</si>
  <si>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</si>
  <si>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</si>
  <si>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</si>
  <si>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</si>
  <si>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</si>
  <si>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</si>
  <si>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</si>
  <si>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</si>
  <si>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</si>
  <si>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</si>
  <si>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</si>
  <si>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</si>
  <si>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</si>
  <si>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</si>
  <si>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</si>
  <si>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</si>
  <si>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</si>
  <si>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</si>
  <si>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</si>
  <si>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</si>
  <si>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</si>
  <si>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</si>
  <si>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</si>
  <si>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</si>
  <si>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</si>
  <si>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</si>
  <si>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</si>
  <si>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</si>
  <si>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</si>
  <si>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</si>
  <si>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</si>
  <si>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</si>
  <si>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</si>
  <si>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</si>
  <si>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</si>
  <si>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</si>
  <si>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</si>
  <si>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</si>
  <si>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</si>
  <si>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</si>
  <si>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</si>
  <si>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</si>
  <si>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</si>
  <si>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</si>
  <si>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</si>
  <si>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</si>
  <si>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</si>
  <si>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</si>
  <si>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</si>
  <si>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</si>
  <si>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</si>
  <si>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</si>
  <si>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</si>
  <si>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</si>
  <si>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</si>
  <si>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</si>
  <si>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</si>
  <si>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</si>
  <si>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</si>
  <si>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</si>
  <si>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</si>
  <si>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</si>
  <si>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</si>
  <si>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</si>
  <si>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</si>
  <si>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</si>
  <si>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</si>
  <si>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</si>
  <si>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</si>
  <si>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</si>
  <si>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</si>
  <si>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</si>
  <si>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</si>
  <si>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</si>
  <si>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</si>
  <si>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</si>
  <si>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</si>
  <si>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</si>
  <si>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</si>
  <si>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</si>
  <si>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</si>
  <si>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</si>
  <si>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</si>
  <si>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</si>
  <si>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</si>
  <si>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</si>
  <si>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</si>
  <si>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</si>
  <si>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</si>
  <si>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</si>
  <si>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</si>
  <si>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</si>
  <si>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</si>
  <si>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</si>
  <si>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</si>
  <si>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</si>
  <si>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</si>
  <si>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</si>
  <si>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</si>
  <si>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</si>
  <si>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</si>
  <si>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</si>
  <si>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</si>
  <si>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</si>
  <si>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</si>
  <si>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</si>
  <si>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</si>
  <si>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</si>
  <si>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</si>
  <si>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</si>
  <si>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</si>
  <si>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</si>
  <si>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</si>
  <si>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</si>
  <si>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</si>
  <si>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</si>
  <si>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</si>
  <si>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</si>
  <si>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</si>
  <si>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</si>
  <si>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</si>
  <si>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</si>
  <si>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</si>
  <si>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</si>
  <si>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</si>
  <si>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</si>
  <si>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</si>
  <si>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</si>
  <si>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</si>
  <si>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</si>
  <si>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</si>
  <si>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</si>
  <si>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</si>
  <si>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</si>
  <si>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</si>
  <si>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</si>
  <si>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</si>
  <si>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</si>
  <si>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</si>
  <si>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</si>
  <si>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</si>
  <si>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</si>
  <si>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</si>
  <si>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</si>
  <si>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</si>
  <si>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</si>
  <si>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</si>
  <si>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</si>
  <si>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</si>
  <si>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</si>
  <si>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</si>
  <si>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</si>
  <si>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</si>
  <si>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</si>
  <si>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</si>
  <si>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</si>
  <si>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</si>
  <si>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</si>
  <si>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</si>
  <si>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</si>
  <si>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</si>
  <si>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</si>
  <si>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</si>
  <si>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</si>
  <si>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</si>
  <si>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</si>
  <si>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</si>
  <si>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</si>
  <si>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</si>
  <si>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</si>
  <si>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</si>
  <si>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</si>
  <si>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</si>
  <si>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</si>
  <si>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</si>
  <si>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</si>
  <si>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</si>
  <si>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</si>
  <si>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</si>
  <si>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</si>
  <si>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</si>
  <si>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</si>
  <si>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</si>
  <si>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</si>
  <si>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</si>
  <si>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</si>
  <si>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</si>
  <si>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</si>
  <si>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</si>
  <si>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</si>
  <si>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</si>
  <si>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</si>
  <si>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</si>
  <si>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</si>
  <si>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</si>
  <si>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</si>
  <si>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</si>
  <si>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</si>
  <si>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</si>
  <si>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</si>
  <si>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</si>
  <si>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</si>
  <si>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LocationIDNumber;OutFlowA;OutFlowB;OutFlowC;DwellTime(s);SplittingRatioKey</t>
  </si>
  <si>
    <t>28;29;30;0;0;B</t>
  </si>
  <si>
    <t>6;63;63;0;5.15;0</t>
  </si>
  <si>
    <t>29;31;32;0;0;C</t>
  </si>
  <si>
    <t>9;61;61;0;5.15;0</t>
  </si>
  <si>
    <t>12;96;96;0;17.89;0</t>
  </si>
  <si>
    <t>13;97;97;0;17.89;0</t>
  </si>
  <si>
    <t>14;93;93;0;17.89;0</t>
  </si>
  <si>
    <t>15;94;94;0;17.89;0</t>
  </si>
  <si>
    <t>16;95;95;0;17.89;0</t>
  </si>
  <si>
    <t>17;91;91;0;17.89;0</t>
  </si>
  <si>
    <t>18;67;67;0;39.92;0</t>
  </si>
  <si>
    <t>19;72;72;0;39.92;0</t>
  </si>
  <si>
    <t>20;76;76;0;39.92;0</t>
  </si>
  <si>
    <t>21;75;75;0;39.92;0</t>
  </si>
  <si>
    <t>22;70;70;0;39.92;0</t>
  </si>
  <si>
    <t>23;74;74;0;39.92;0</t>
  </si>
  <si>
    <t>24;78;78;0;39.92;0</t>
  </si>
  <si>
    <t>30;33;34;0;0;D</t>
  </si>
  <si>
    <t>25;77;77;0;39.92;0</t>
  </si>
  <si>
    <t>31;35;36;0;0;E</t>
  </si>
  <si>
    <t>32;2;2;0;0;0</t>
  </si>
  <si>
    <t>33;37;38;0;0;F</t>
  </si>
  <si>
    <t>34;2;2;0;0;0</t>
  </si>
  <si>
    <t>35;39;40;0;0;G</t>
  </si>
  <si>
    <t>36;41;42;0;0;H</t>
  </si>
  <si>
    <t>37;15;15;0;0;0</t>
  </si>
  <si>
    <t>38;43;44;0;0;I</t>
  </si>
  <si>
    <t>39;45;46;0;0;J</t>
  </si>
  <si>
    <t>40;47;48;0;0;K</t>
  </si>
  <si>
    <t>41;49;50;0;0;L</t>
  </si>
  <si>
    <t>42;2;2;0;0;0</t>
  </si>
  <si>
    <t>43;16;16;0;0;0</t>
  </si>
  <si>
    <t>44;17;17;0;0;0</t>
  </si>
  <si>
    <t>45;51;52;0;0;M</t>
  </si>
  <si>
    <t>46;3;4;0;0;N</t>
  </si>
  <si>
    <t>47;104;105;0;0;O</t>
  </si>
  <si>
    <t>49;12;12;0;0;0</t>
  </si>
  <si>
    <t>50;106;107;0;0;P</t>
  </si>
  <si>
    <t>51;108;109;0;0;Q</t>
  </si>
  <si>
    <t>52;6;6;0;0;0</t>
  </si>
  <si>
    <t>53;0;0;0;0;0</t>
  </si>
  <si>
    <t>54;53;53;0;0;0</t>
  </si>
  <si>
    <t>55;53;53;0;0;0</t>
  </si>
  <si>
    <t>56;54;54;0;0;0</t>
  </si>
  <si>
    <t>57;54;54;0;0;0</t>
  </si>
  <si>
    <t>58;56;56;0;0;0</t>
  </si>
  <si>
    <t>59;56;56;0;0;0</t>
  </si>
  <si>
    <t>60;58;58;0;0;0</t>
  </si>
  <si>
    <t>61;58;58;0;0;0</t>
  </si>
  <si>
    <t>62;60;60;0;0;0</t>
  </si>
  <si>
    <t>63;60;60;0;0;0</t>
  </si>
  <si>
    <t>64;62;62;0;0;0</t>
  </si>
  <si>
    <t>65;62;62;0;0;0</t>
  </si>
  <si>
    <t>66;64;64;0;0;0</t>
  </si>
  <si>
    <t>67;65;65;0;0;0</t>
  </si>
  <si>
    <t>68;65;65;0;0;0</t>
  </si>
  <si>
    <t>69;66;66;0;0;0</t>
  </si>
  <si>
    <t>70;66;66;0;0;0</t>
  </si>
  <si>
    <t>71;68;68;0;0;0</t>
  </si>
  <si>
    <t>72;68;68;0;0;0</t>
  </si>
  <si>
    <t>73;69;69;0;0;0</t>
  </si>
  <si>
    <t>74;69;69;0;0;0</t>
  </si>
  <si>
    <t>75;71;71;0;0;0</t>
  </si>
  <si>
    <t>76;71;71;0;0;0</t>
  </si>
  <si>
    <t>77;73;73;0;0;0</t>
  </si>
  <si>
    <t>78;73;73;0;0;0</t>
  </si>
  <si>
    <t>79;0;0;0;0;0</t>
  </si>
  <si>
    <t>80;79;79;0;0;0</t>
  </si>
  <si>
    <t>81;79;79;0;0;0</t>
  </si>
  <si>
    <t>82;80;80;0;0;0</t>
  </si>
  <si>
    <t>83;80;80;0;0;0</t>
  </si>
  <si>
    <t>84;81;81;0;0;0</t>
  </si>
  <si>
    <t>85;81;81;0;0;0</t>
  </si>
  <si>
    <t>86;83;83;0;0;0</t>
  </si>
  <si>
    <t>87;83;83;0;0;0</t>
  </si>
  <si>
    <t>88;84;84;0;0;0</t>
  </si>
  <si>
    <t>89;84;84;0;0;0</t>
  </si>
  <si>
    <t>90;86;86;0;0;0</t>
  </si>
  <si>
    <t>91;87;87;0;0;0</t>
  </si>
  <si>
    <t>92;88;88;0;0;0</t>
  </si>
  <si>
    <t>93;89;89;0;0;0</t>
  </si>
  <si>
    <t>94;90;90;0;0;0</t>
  </si>
  <si>
    <t>95;90;90;0;0;0</t>
  </si>
  <si>
    <t>96;92;92;0;0;0</t>
  </si>
  <si>
    <t>97;92;92;0;0;0</t>
  </si>
  <si>
    <t>98;26;26;0;0;0</t>
  </si>
  <si>
    <t>99;27;27;0;0;0</t>
  </si>
  <si>
    <t>100;1;1;0;0;0</t>
  </si>
  <si>
    <t>101;1;1;0;0;0</t>
  </si>
  <si>
    <t>102;1;1;0;0;0</t>
  </si>
  <si>
    <t>103;1;1;0;0;0</t>
  </si>
  <si>
    <t>104;7;7;0;0;0</t>
  </si>
  <si>
    <t>106;13;13;0;0;0</t>
  </si>
  <si>
    <t>107;14;14;0;0;0</t>
  </si>
  <si>
    <t>108;110;111;0;0;R</t>
  </si>
  <si>
    <t>109;9;9;0;0;0</t>
  </si>
  <si>
    <t>110;112;113;0;0;S</t>
  </si>
  <si>
    <t>111;8;8;0;0;0</t>
  </si>
  <si>
    <t>112;114;115;0;0;T</t>
  </si>
  <si>
    <t>113;116;117;0;0;U</t>
  </si>
  <si>
    <t>114;18;18;0;0;0</t>
  </si>
  <si>
    <t>115;118;119;0;0;V</t>
  </si>
  <si>
    <t>116;22;22;0;0;0</t>
  </si>
  <si>
    <t>117;120;121;0;0;W</t>
  </si>
  <si>
    <t>118;122;123;0;0;X</t>
  </si>
  <si>
    <t>119;19;19;0;0;0</t>
  </si>
  <si>
    <t>120;124;125;0;0;Y</t>
  </si>
  <si>
    <t>121;23;23;0;0;0</t>
  </si>
  <si>
    <t>122;21;21;0;0;0</t>
  </si>
  <si>
    <t>123;20;20;0;0;0</t>
  </si>
  <si>
    <t>124;25;25;0;0;0</t>
  </si>
  <si>
    <t>125;24;24;0;0;0</t>
  </si>
  <si>
    <t>2;82;85;0;4.89;Z</t>
  </si>
  <si>
    <t>10;55;57;59;18.82;AA</t>
  </si>
  <si>
    <t>11;55;57;59;19.31;AA</t>
  </si>
  <si>
    <t>126;98;99;0;0;AD</t>
  </si>
  <si>
    <t>26;100;103;0;6.12;AB</t>
  </si>
  <si>
    <t>27;101;102;0;6.12;AC</t>
  </si>
  <si>
    <t>48;10;10;0;0;0</t>
  </si>
  <si>
    <t>105;5;5;0;0;0</t>
  </si>
  <si>
    <t>3;11;11;0;18.59;0</t>
  </si>
  <si>
    <t>4;11;11;0;29.36;0</t>
  </si>
  <si>
    <t>5;11;11;0;48.92;0</t>
  </si>
  <si>
    <t>7;11;11;0;22.83;0</t>
  </si>
  <si>
    <t>8;11;11;0;26.91;0</t>
  </si>
  <si>
    <t>1;28;28;0;2.2;0</t>
  </si>
  <si>
    <t>0;126;126;0;2.2;0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</si>
</sst>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abSelected="1" workbookViewId="0">
      <selection activeCell="B2" sqref="B2"/>
    </sheetView>
  </sheetViews>
  <sheetFormatPr defaultRowHeight="15" x14ac:dyDescent="0.25"/>
  <cols>
    <col min="1" max="1" width="27" customWidth="1"/>
    <col min="2" max="2" width="27.7109375" customWidth="1"/>
  </cols>
  <sheetData>
    <row r="1" spans="1:2" x14ac:dyDescent="0.25">
      <c r="A1" t="s">
        <v>932</v>
      </c>
      <c r="B1" t="s">
        <v>1045</v>
      </c>
    </row>
    <row r="2" spans="1:2" x14ac:dyDescent="0.25">
      <c r="A2" t="s">
        <v>936</v>
      </c>
      <c r="B2" t="s">
        <v>1172</v>
      </c>
    </row>
    <row r="3" spans="1:2" x14ac:dyDescent="0.25">
      <c r="A3" t="s">
        <v>935</v>
      </c>
      <c r="B3" t="s">
        <v>1171</v>
      </c>
    </row>
    <row r="4" spans="1:2" x14ac:dyDescent="0.25">
      <c r="A4" t="s">
        <v>817</v>
      </c>
      <c r="B4" t="s">
        <v>1158</v>
      </c>
    </row>
    <row r="5" spans="1:2" x14ac:dyDescent="0.25">
      <c r="A5" t="s">
        <v>844</v>
      </c>
      <c r="B5" t="s">
        <v>1166</v>
      </c>
    </row>
    <row r="6" spans="1:2" x14ac:dyDescent="0.25">
      <c r="A6" t="s">
        <v>845</v>
      </c>
      <c r="B6" t="s">
        <v>1167</v>
      </c>
    </row>
    <row r="7" spans="1:2" x14ac:dyDescent="0.25">
      <c r="A7" t="s">
        <v>818</v>
      </c>
      <c r="B7" t="s">
        <v>1168</v>
      </c>
    </row>
    <row r="8" spans="1:2" x14ac:dyDescent="0.25">
      <c r="A8" t="s">
        <v>807</v>
      </c>
      <c r="B8" t="s">
        <v>1047</v>
      </c>
    </row>
    <row r="9" spans="1:2" x14ac:dyDescent="0.25">
      <c r="A9" t="s">
        <v>819</v>
      </c>
      <c r="B9" t="s">
        <v>1169</v>
      </c>
    </row>
    <row r="10" spans="1:2" x14ac:dyDescent="0.25">
      <c r="A10" t="s">
        <v>846</v>
      </c>
      <c r="B10" t="s">
        <v>1170</v>
      </c>
    </row>
    <row r="11" spans="1:2" x14ac:dyDescent="0.25">
      <c r="A11" t="s">
        <v>811</v>
      </c>
      <c r="B11" t="s">
        <v>1049</v>
      </c>
    </row>
    <row r="12" spans="1:2" x14ac:dyDescent="0.25">
      <c r="A12" t="s">
        <v>848</v>
      </c>
      <c r="B12" t="s">
        <v>1159</v>
      </c>
    </row>
    <row r="13" spans="1:2" x14ac:dyDescent="0.25">
      <c r="A13" t="s">
        <v>847</v>
      </c>
      <c r="B13" t="s">
        <v>1160</v>
      </c>
    </row>
    <row r="14" spans="1:2" x14ac:dyDescent="0.25">
      <c r="A14" t="s">
        <v>1007</v>
      </c>
      <c r="B14" t="s">
        <v>1050</v>
      </c>
    </row>
    <row r="15" spans="1:2" x14ac:dyDescent="0.25">
      <c r="A15" t="s">
        <v>1008</v>
      </c>
      <c r="B15" t="s">
        <v>1051</v>
      </c>
    </row>
    <row r="16" spans="1:2" x14ac:dyDescent="0.25">
      <c r="A16" t="s">
        <v>1009</v>
      </c>
      <c r="B16" t="s">
        <v>1052</v>
      </c>
    </row>
    <row r="17" spans="1:2" x14ac:dyDescent="0.25">
      <c r="A17" t="s">
        <v>1010</v>
      </c>
      <c r="B17" t="s">
        <v>1053</v>
      </c>
    </row>
    <row r="18" spans="1:2" x14ac:dyDescent="0.25">
      <c r="A18" t="s">
        <v>1022</v>
      </c>
      <c r="B18" t="s">
        <v>1054</v>
      </c>
    </row>
    <row r="19" spans="1:2" x14ac:dyDescent="0.25">
      <c r="A19" t="s">
        <v>1011</v>
      </c>
      <c r="B19" t="s">
        <v>1055</v>
      </c>
    </row>
    <row r="20" spans="1:2" x14ac:dyDescent="0.25">
      <c r="A20" t="s">
        <v>1014</v>
      </c>
      <c r="B20" t="s">
        <v>1056</v>
      </c>
    </row>
    <row r="21" spans="1:2" x14ac:dyDescent="0.25">
      <c r="A21" t="s">
        <v>1015</v>
      </c>
      <c r="B21" t="s">
        <v>1057</v>
      </c>
    </row>
    <row r="22" spans="1:2" x14ac:dyDescent="0.25">
      <c r="A22" t="s">
        <v>1016</v>
      </c>
      <c r="B22" t="s">
        <v>1058</v>
      </c>
    </row>
    <row r="23" spans="1:2" x14ac:dyDescent="0.25">
      <c r="A23" t="s">
        <v>1017</v>
      </c>
      <c r="B23" t="s">
        <v>1059</v>
      </c>
    </row>
    <row r="24" spans="1:2" x14ac:dyDescent="0.25">
      <c r="A24" t="s">
        <v>1018</v>
      </c>
      <c r="B24" t="s">
        <v>1060</v>
      </c>
    </row>
    <row r="25" spans="1:2" x14ac:dyDescent="0.25">
      <c r="A25" t="s">
        <v>1019</v>
      </c>
      <c r="B25" t="s">
        <v>1061</v>
      </c>
    </row>
    <row r="26" spans="1:2" x14ac:dyDescent="0.25">
      <c r="A26" t="s">
        <v>1020</v>
      </c>
      <c r="B26" t="s">
        <v>1062</v>
      </c>
    </row>
    <row r="27" spans="1:2" x14ac:dyDescent="0.25">
      <c r="A27" t="s">
        <v>1021</v>
      </c>
      <c r="B27" t="s">
        <v>1064</v>
      </c>
    </row>
    <row r="28" spans="1:2" x14ac:dyDescent="0.25">
      <c r="A28" t="s">
        <v>1012</v>
      </c>
      <c r="B28" t="s">
        <v>1162</v>
      </c>
    </row>
    <row r="29" spans="1:2" x14ac:dyDescent="0.25">
      <c r="A29" t="s">
        <v>1013</v>
      </c>
      <c r="B29" t="s">
        <v>1163</v>
      </c>
    </row>
    <row r="30" spans="1:2" x14ac:dyDescent="0.25">
      <c r="A30" t="s">
        <v>963</v>
      </c>
      <c r="B30" t="s">
        <v>1046</v>
      </c>
    </row>
    <row r="31" spans="1:2" x14ac:dyDescent="0.25">
      <c r="A31" t="s">
        <v>964</v>
      </c>
      <c r="B31" t="s">
        <v>1048</v>
      </c>
    </row>
    <row r="32" spans="1:2" x14ac:dyDescent="0.25">
      <c r="A32" t="s">
        <v>965</v>
      </c>
      <c r="B32" t="s">
        <v>1063</v>
      </c>
    </row>
    <row r="33" spans="1:2" x14ac:dyDescent="0.25">
      <c r="A33" t="s">
        <v>966</v>
      </c>
      <c r="B33" t="s">
        <v>1065</v>
      </c>
    </row>
    <row r="34" spans="1:2" x14ac:dyDescent="0.25">
      <c r="A34" t="s">
        <v>967</v>
      </c>
      <c r="B34" t="s">
        <v>1066</v>
      </c>
    </row>
    <row r="35" spans="1:2" x14ac:dyDescent="0.25">
      <c r="A35" t="s">
        <v>968</v>
      </c>
      <c r="B35" t="s">
        <v>1067</v>
      </c>
    </row>
    <row r="36" spans="1:2" x14ac:dyDescent="0.25">
      <c r="A36" t="s">
        <v>969</v>
      </c>
      <c r="B36" t="s">
        <v>1068</v>
      </c>
    </row>
    <row r="37" spans="1:2" x14ac:dyDescent="0.25">
      <c r="A37" t="s">
        <v>970</v>
      </c>
      <c r="B37" t="s">
        <v>1069</v>
      </c>
    </row>
    <row r="38" spans="1:2" x14ac:dyDescent="0.25">
      <c r="A38" t="s">
        <v>971</v>
      </c>
      <c r="B38" t="s">
        <v>1070</v>
      </c>
    </row>
    <row r="39" spans="1:2" x14ac:dyDescent="0.25">
      <c r="A39" t="s">
        <v>972</v>
      </c>
      <c r="B39" t="s">
        <v>1071</v>
      </c>
    </row>
    <row r="40" spans="1:2" x14ac:dyDescent="0.25">
      <c r="A40" t="s">
        <v>973</v>
      </c>
      <c r="B40" t="s">
        <v>1072</v>
      </c>
    </row>
    <row r="41" spans="1:2" x14ac:dyDescent="0.25">
      <c r="A41" t="s">
        <v>974</v>
      </c>
      <c r="B41" t="s">
        <v>1073</v>
      </c>
    </row>
    <row r="42" spans="1:2" x14ac:dyDescent="0.25">
      <c r="A42" t="s">
        <v>975</v>
      </c>
      <c r="B42" t="s">
        <v>1074</v>
      </c>
    </row>
    <row r="43" spans="1:2" x14ac:dyDescent="0.25">
      <c r="A43" t="s">
        <v>976</v>
      </c>
      <c r="B43" t="s">
        <v>1075</v>
      </c>
    </row>
    <row r="44" spans="1:2" x14ac:dyDescent="0.25">
      <c r="A44" t="s">
        <v>977</v>
      </c>
      <c r="B44" t="s">
        <v>1076</v>
      </c>
    </row>
    <row r="45" spans="1:2" x14ac:dyDescent="0.25">
      <c r="A45" t="s">
        <v>978</v>
      </c>
      <c r="B45" t="s">
        <v>1077</v>
      </c>
    </row>
    <row r="46" spans="1:2" x14ac:dyDescent="0.25">
      <c r="A46" t="s">
        <v>979</v>
      </c>
      <c r="B46" t="s">
        <v>1078</v>
      </c>
    </row>
    <row r="47" spans="1:2" x14ac:dyDescent="0.25">
      <c r="A47" t="s">
        <v>980</v>
      </c>
      <c r="B47" t="s">
        <v>1079</v>
      </c>
    </row>
    <row r="48" spans="1:2" x14ac:dyDescent="0.25">
      <c r="A48" t="s">
        <v>981</v>
      </c>
      <c r="B48" t="s">
        <v>1080</v>
      </c>
    </row>
    <row r="49" spans="1:2" x14ac:dyDescent="0.25">
      <c r="A49" t="s">
        <v>982</v>
      </c>
      <c r="B49" t="s">
        <v>1081</v>
      </c>
    </row>
    <row r="50" spans="1:2" x14ac:dyDescent="0.25">
      <c r="A50" t="s">
        <v>983</v>
      </c>
      <c r="B50" t="s">
        <v>1164</v>
      </c>
    </row>
    <row r="51" spans="1:2" x14ac:dyDescent="0.25">
      <c r="A51" t="s">
        <v>984</v>
      </c>
      <c r="B51" t="s">
        <v>1082</v>
      </c>
    </row>
    <row r="52" spans="1:2" x14ac:dyDescent="0.25">
      <c r="A52" t="s">
        <v>985</v>
      </c>
      <c r="B52" t="s">
        <v>1083</v>
      </c>
    </row>
    <row r="53" spans="1:2" x14ac:dyDescent="0.25">
      <c r="A53" t="s">
        <v>986</v>
      </c>
      <c r="B53" t="s">
        <v>1084</v>
      </c>
    </row>
    <row r="54" spans="1:2" x14ac:dyDescent="0.25">
      <c r="A54" t="s">
        <v>987</v>
      </c>
      <c r="B54" t="s">
        <v>1085</v>
      </c>
    </row>
    <row r="55" spans="1:2" x14ac:dyDescent="0.25">
      <c r="A55" t="s">
        <v>937</v>
      </c>
      <c r="B55" t="s">
        <v>1086</v>
      </c>
    </row>
    <row r="56" spans="1:2" x14ac:dyDescent="0.25">
      <c r="A56" t="s">
        <v>938</v>
      </c>
      <c r="B56" t="s">
        <v>1087</v>
      </c>
    </row>
    <row r="57" spans="1:2" x14ac:dyDescent="0.25">
      <c r="A57" t="s">
        <v>939</v>
      </c>
      <c r="B57" t="s">
        <v>1088</v>
      </c>
    </row>
    <row r="58" spans="1:2" x14ac:dyDescent="0.25">
      <c r="A58" t="s">
        <v>940</v>
      </c>
      <c r="B58" t="s">
        <v>1089</v>
      </c>
    </row>
    <row r="59" spans="1:2" x14ac:dyDescent="0.25">
      <c r="A59" t="s">
        <v>941</v>
      </c>
      <c r="B59" t="s">
        <v>1090</v>
      </c>
    </row>
    <row r="60" spans="1:2" x14ac:dyDescent="0.25">
      <c r="A60" t="s">
        <v>942</v>
      </c>
      <c r="B60" t="s">
        <v>1091</v>
      </c>
    </row>
    <row r="61" spans="1:2" x14ac:dyDescent="0.25">
      <c r="A61" t="s">
        <v>943</v>
      </c>
      <c r="B61" t="s">
        <v>1092</v>
      </c>
    </row>
    <row r="62" spans="1:2" x14ac:dyDescent="0.25">
      <c r="A62" t="s">
        <v>944</v>
      </c>
      <c r="B62" t="s">
        <v>1093</v>
      </c>
    </row>
    <row r="63" spans="1:2" x14ac:dyDescent="0.25">
      <c r="A63" t="s">
        <v>945</v>
      </c>
      <c r="B63" t="s">
        <v>1094</v>
      </c>
    </row>
    <row r="64" spans="1:2" x14ac:dyDescent="0.25">
      <c r="A64" t="s">
        <v>946</v>
      </c>
      <c r="B64" t="s">
        <v>1095</v>
      </c>
    </row>
    <row r="65" spans="1:2" x14ac:dyDescent="0.25">
      <c r="A65" t="s">
        <v>947</v>
      </c>
      <c r="B65" t="s">
        <v>1096</v>
      </c>
    </row>
    <row r="66" spans="1:2" x14ac:dyDescent="0.25">
      <c r="A66" t="s">
        <v>948</v>
      </c>
      <c r="B66" t="s">
        <v>1097</v>
      </c>
    </row>
    <row r="67" spans="1:2" x14ac:dyDescent="0.25">
      <c r="A67" t="s">
        <v>949</v>
      </c>
      <c r="B67" t="s">
        <v>1098</v>
      </c>
    </row>
    <row r="68" spans="1:2" x14ac:dyDescent="0.25">
      <c r="A68" t="s">
        <v>950</v>
      </c>
      <c r="B68" t="s">
        <v>1099</v>
      </c>
    </row>
    <row r="69" spans="1:2" x14ac:dyDescent="0.25">
      <c r="A69" t="s">
        <v>951</v>
      </c>
      <c r="B69" t="s">
        <v>1100</v>
      </c>
    </row>
    <row r="70" spans="1:2" x14ac:dyDescent="0.25">
      <c r="A70" t="s">
        <v>952</v>
      </c>
      <c r="B70" t="s">
        <v>1101</v>
      </c>
    </row>
    <row r="71" spans="1:2" x14ac:dyDescent="0.25">
      <c r="A71" t="s">
        <v>953</v>
      </c>
      <c r="B71" t="s">
        <v>1102</v>
      </c>
    </row>
    <row r="72" spans="1:2" x14ac:dyDescent="0.25">
      <c r="A72" t="s">
        <v>954</v>
      </c>
      <c r="B72" t="s">
        <v>1103</v>
      </c>
    </row>
    <row r="73" spans="1:2" x14ac:dyDescent="0.25">
      <c r="A73" t="s">
        <v>955</v>
      </c>
      <c r="B73" t="s">
        <v>1104</v>
      </c>
    </row>
    <row r="74" spans="1:2" x14ac:dyDescent="0.25">
      <c r="A74" t="s">
        <v>956</v>
      </c>
      <c r="B74" t="s">
        <v>1105</v>
      </c>
    </row>
    <row r="75" spans="1:2" x14ac:dyDescent="0.25">
      <c r="A75" t="s">
        <v>957</v>
      </c>
      <c r="B75" t="s">
        <v>1106</v>
      </c>
    </row>
    <row r="76" spans="1:2" x14ac:dyDescent="0.25">
      <c r="A76" t="s">
        <v>958</v>
      </c>
      <c r="B76" t="s">
        <v>1107</v>
      </c>
    </row>
    <row r="77" spans="1:2" x14ac:dyDescent="0.25">
      <c r="A77" t="s">
        <v>959</v>
      </c>
      <c r="B77" t="s">
        <v>1108</v>
      </c>
    </row>
    <row r="78" spans="1:2" x14ac:dyDescent="0.25">
      <c r="A78" t="s">
        <v>960</v>
      </c>
      <c r="B78" t="s">
        <v>1109</v>
      </c>
    </row>
    <row r="79" spans="1:2" x14ac:dyDescent="0.25">
      <c r="A79" t="s">
        <v>961</v>
      </c>
      <c r="B79" t="s">
        <v>1110</v>
      </c>
    </row>
    <row r="80" spans="1:2" x14ac:dyDescent="0.25">
      <c r="A80" t="s">
        <v>962</v>
      </c>
      <c r="B80" t="s">
        <v>1111</v>
      </c>
    </row>
    <row r="81" spans="1:2" x14ac:dyDescent="0.25">
      <c r="A81" t="s">
        <v>988</v>
      </c>
      <c r="B81" t="s">
        <v>1112</v>
      </c>
    </row>
    <row r="82" spans="1:2" x14ac:dyDescent="0.25">
      <c r="A82" t="s">
        <v>989</v>
      </c>
      <c r="B82" t="s">
        <v>1113</v>
      </c>
    </row>
    <row r="83" spans="1:2" x14ac:dyDescent="0.25">
      <c r="A83" t="s">
        <v>990</v>
      </c>
      <c r="B83" t="s">
        <v>1114</v>
      </c>
    </row>
    <row r="84" spans="1:2" x14ac:dyDescent="0.25">
      <c r="A84" t="s">
        <v>991</v>
      </c>
      <c r="B84" t="s">
        <v>1115</v>
      </c>
    </row>
    <row r="85" spans="1:2" x14ac:dyDescent="0.25">
      <c r="A85" t="s">
        <v>992</v>
      </c>
      <c r="B85" t="s">
        <v>1116</v>
      </c>
    </row>
    <row r="86" spans="1:2" x14ac:dyDescent="0.25">
      <c r="A86" t="s">
        <v>993</v>
      </c>
      <c r="B86" t="s">
        <v>1117</v>
      </c>
    </row>
    <row r="87" spans="1:2" x14ac:dyDescent="0.25">
      <c r="A87" t="s">
        <v>994</v>
      </c>
      <c r="B87" t="s">
        <v>1118</v>
      </c>
    </row>
    <row r="88" spans="1:2" x14ac:dyDescent="0.25">
      <c r="A88" t="s">
        <v>995</v>
      </c>
      <c r="B88" t="s">
        <v>1119</v>
      </c>
    </row>
    <row r="89" spans="1:2" x14ac:dyDescent="0.25">
      <c r="A89" t="s">
        <v>996</v>
      </c>
      <c r="B89" t="s">
        <v>1120</v>
      </c>
    </row>
    <row r="90" spans="1:2" x14ac:dyDescent="0.25">
      <c r="A90" t="s">
        <v>997</v>
      </c>
      <c r="B90" t="s">
        <v>1121</v>
      </c>
    </row>
    <row r="91" spans="1:2" x14ac:dyDescent="0.25">
      <c r="A91" t="s">
        <v>998</v>
      </c>
      <c r="B91" t="s">
        <v>1122</v>
      </c>
    </row>
    <row r="92" spans="1:2" x14ac:dyDescent="0.25">
      <c r="A92" t="s">
        <v>999</v>
      </c>
      <c r="B92" t="s">
        <v>1123</v>
      </c>
    </row>
    <row r="93" spans="1:2" x14ac:dyDescent="0.25">
      <c r="A93" t="s">
        <v>1000</v>
      </c>
      <c r="B93" t="s">
        <v>1124</v>
      </c>
    </row>
    <row r="94" spans="1:2" x14ac:dyDescent="0.25">
      <c r="A94" t="s">
        <v>1001</v>
      </c>
      <c r="B94" t="s">
        <v>1125</v>
      </c>
    </row>
    <row r="95" spans="1:2" x14ac:dyDescent="0.25">
      <c r="A95" t="s">
        <v>1002</v>
      </c>
      <c r="B95" t="s">
        <v>1126</v>
      </c>
    </row>
    <row r="96" spans="1:2" x14ac:dyDescent="0.25">
      <c r="A96" t="s">
        <v>1003</v>
      </c>
      <c r="B96" t="s">
        <v>1127</v>
      </c>
    </row>
    <row r="97" spans="1:2" x14ac:dyDescent="0.25">
      <c r="A97" t="s">
        <v>1004</v>
      </c>
      <c r="B97" t="s">
        <v>1128</v>
      </c>
    </row>
    <row r="98" spans="1:2" x14ac:dyDescent="0.25">
      <c r="A98" t="s">
        <v>1005</v>
      </c>
      <c r="B98" t="s">
        <v>1129</v>
      </c>
    </row>
    <row r="99" spans="1:2" x14ac:dyDescent="0.25">
      <c r="A99" t="s">
        <v>1006</v>
      </c>
      <c r="B99" t="s">
        <v>1130</v>
      </c>
    </row>
    <row r="100" spans="1:2" x14ac:dyDescent="0.25">
      <c r="A100" t="s">
        <v>140</v>
      </c>
      <c r="B100" t="s">
        <v>1131</v>
      </c>
    </row>
    <row r="101" spans="1:2" x14ac:dyDescent="0.25">
      <c r="A101" t="s">
        <v>927</v>
      </c>
      <c r="B101" t="s">
        <v>1132</v>
      </c>
    </row>
    <row r="102" spans="1:2" x14ac:dyDescent="0.25">
      <c r="A102" t="s">
        <v>928</v>
      </c>
      <c r="B102" t="s">
        <v>1133</v>
      </c>
    </row>
    <row r="103" spans="1:2" x14ac:dyDescent="0.25">
      <c r="A103" t="s">
        <v>929</v>
      </c>
      <c r="B103" t="s">
        <v>1134</v>
      </c>
    </row>
    <row r="104" spans="1:2" x14ac:dyDescent="0.25">
      <c r="A104" t="s">
        <v>930</v>
      </c>
      <c r="B104" t="s">
        <v>1135</v>
      </c>
    </row>
    <row r="105" spans="1:2" x14ac:dyDescent="0.25">
      <c r="A105" t="s">
        <v>931</v>
      </c>
      <c r="B105" t="s">
        <v>1136</v>
      </c>
    </row>
    <row r="106" spans="1:2" x14ac:dyDescent="0.25">
      <c r="A106" t="s">
        <v>1023</v>
      </c>
      <c r="B106" t="s">
        <v>1137</v>
      </c>
    </row>
    <row r="107" spans="1:2" x14ac:dyDescent="0.25">
      <c r="A107" t="s">
        <v>1024</v>
      </c>
      <c r="B107" t="s">
        <v>1165</v>
      </c>
    </row>
    <row r="108" spans="1:2" x14ac:dyDescent="0.25">
      <c r="A108" t="s">
        <v>1025</v>
      </c>
      <c r="B108" t="s">
        <v>1138</v>
      </c>
    </row>
    <row r="109" spans="1:2" x14ac:dyDescent="0.25">
      <c r="A109" t="s">
        <v>1026</v>
      </c>
      <c r="B109" t="s">
        <v>1139</v>
      </c>
    </row>
    <row r="110" spans="1:2" x14ac:dyDescent="0.25">
      <c r="A110" t="s">
        <v>1027</v>
      </c>
      <c r="B110" t="s">
        <v>1140</v>
      </c>
    </row>
    <row r="111" spans="1:2" x14ac:dyDescent="0.25">
      <c r="A111" t="s">
        <v>1028</v>
      </c>
      <c r="B111" t="s">
        <v>1141</v>
      </c>
    </row>
    <row r="112" spans="1:2" x14ac:dyDescent="0.25">
      <c r="A112" t="s">
        <v>1029</v>
      </c>
      <c r="B112" t="s">
        <v>1142</v>
      </c>
    </row>
    <row r="113" spans="1:2" x14ac:dyDescent="0.25">
      <c r="A113" t="s">
        <v>1030</v>
      </c>
      <c r="B113" t="s">
        <v>1143</v>
      </c>
    </row>
    <row r="114" spans="1:2" x14ac:dyDescent="0.25">
      <c r="A114" t="s">
        <v>1031</v>
      </c>
      <c r="B114" t="s">
        <v>1144</v>
      </c>
    </row>
    <row r="115" spans="1:2" x14ac:dyDescent="0.25">
      <c r="A115" t="s">
        <v>1032</v>
      </c>
      <c r="B115" t="s">
        <v>1145</v>
      </c>
    </row>
    <row r="116" spans="1:2" x14ac:dyDescent="0.25">
      <c r="A116" t="s">
        <v>1033</v>
      </c>
      <c r="B116" t="s">
        <v>1146</v>
      </c>
    </row>
    <row r="117" spans="1:2" x14ac:dyDescent="0.25">
      <c r="A117" t="s">
        <v>1034</v>
      </c>
      <c r="B117" t="s">
        <v>1147</v>
      </c>
    </row>
    <row r="118" spans="1:2" x14ac:dyDescent="0.25">
      <c r="A118" t="s">
        <v>1035</v>
      </c>
      <c r="B118" t="s">
        <v>1148</v>
      </c>
    </row>
    <row r="119" spans="1:2" x14ac:dyDescent="0.25">
      <c r="A119" t="s">
        <v>1036</v>
      </c>
      <c r="B119" t="s">
        <v>1149</v>
      </c>
    </row>
    <row r="120" spans="1:2" x14ac:dyDescent="0.25">
      <c r="A120" t="s">
        <v>1037</v>
      </c>
      <c r="B120" t="s">
        <v>1150</v>
      </c>
    </row>
    <row r="121" spans="1:2" x14ac:dyDescent="0.25">
      <c r="A121" t="s">
        <v>1038</v>
      </c>
      <c r="B121" t="s">
        <v>1151</v>
      </c>
    </row>
    <row r="122" spans="1:2" x14ac:dyDescent="0.25">
      <c r="A122" t="s">
        <v>1039</v>
      </c>
      <c r="B122" t="s">
        <v>1152</v>
      </c>
    </row>
    <row r="123" spans="1:2" x14ac:dyDescent="0.25">
      <c r="A123" t="s">
        <v>1040</v>
      </c>
      <c r="B123" t="s">
        <v>1153</v>
      </c>
    </row>
    <row r="124" spans="1:2" x14ac:dyDescent="0.25">
      <c r="A124" t="s">
        <v>1041</v>
      </c>
      <c r="B124" t="s">
        <v>1154</v>
      </c>
    </row>
    <row r="125" spans="1:2" x14ac:dyDescent="0.25">
      <c r="A125" t="s">
        <v>1042</v>
      </c>
      <c r="B125" t="s">
        <v>1155</v>
      </c>
    </row>
    <row r="126" spans="1:2" x14ac:dyDescent="0.25">
      <c r="A126" t="s">
        <v>1043</v>
      </c>
      <c r="B126" t="s">
        <v>1156</v>
      </c>
    </row>
    <row r="127" spans="1:2" x14ac:dyDescent="0.25">
      <c r="A127" t="s">
        <v>1044</v>
      </c>
      <c r="B127" t="s">
        <v>1157</v>
      </c>
    </row>
    <row r="128" spans="1:2" x14ac:dyDescent="0.25">
      <c r="A128" t="s">
        <v>8</v>
      </c>
      <c r="B128" t="s">
        <v>1161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4" sqref="B4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897</v>
      </c>
      <c r="I9" t="s">
        <v>11</v>
      </c>
    </row>
    <row r="10" spans="1:9" x14ac:dyDescent="0.25">
      <c r="A10" t="s">
        <v>838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896</v>
      </c>
    </row>
    <row r="14" spans="1:9" x14ac:dyDescent="0.25">
      <c r="A14" t="s">
        <v>895</v>
      </c>
    </row>
    <row r="15" spans="1:9" x14ac:dyDescent="0.25">
      <c r="A15" t="s">
        <v>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E8" sqref="E8"/>
    </sheetView>
  </sheetViews>
  <sheetFormatPr defaultRowHeight="15" x14ac:dyDescent="0.25"/>
  <cols>
    <col min="1" max="1" width="28.28515625" customWidth="1"/>
    <col min="2" max="3" width="12.140625" customWidth="1"/>
    <col min="4" max="4" width="24.85546875" customWidth="1"/>
    <col min="5" max="5" width="25.42578125" customWidth="1"/>
    <col min="6" max="6" width="36.7109375" customWidth="1"/>
    <col min="7" max="7" width="26.5703125" customWidth="1"/>
    <col min="8" max="9" width="9.140625" hidden="1" customWidth="1"/>
    <col min="10" max="10" width="27" customWidth="1"/>
  </cols>
  <sheetData>
    <row r="1" spans="1:7" x14ac:dyDescent="0.2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2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2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2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2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2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2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2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2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2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2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2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2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2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2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2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2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2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2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2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2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2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2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2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2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25">
      <c r="A26" t="s">
        <v>871</v>
      </c>
      <c r="C26" t="s">
        <v>821</v>
      </c>
      <c r="D26" t="s">
        <v>829</v>
      </c>
      <c r="E26" t="s">
        <v>817</v>
      </c>
    </row>
    <row r="27" spans="1:7" x14ac:dyDescent="0.25">
      <c r="A27" t="s">
        <v>872</v>
      </c>
      <c r="C27" t="s">
        <v>822</v>
      </c>
      <c r="D27" t="s">
        <v>830</v>
      </c>
      <c r="E27" t="s">
        <v>817</v>
      </c>
    </row>
    <row r="28" spans="1:7" x14ac:dyDescent="0.25">
      <c r="A28" t="s">
        <v>861</v>
      </c>
      <c r="C28" t="s">
        <v>823</v>
      </c>
      <c r="D28" t="s">
        <v>905</v>
      </c>
    </row>
    <row r="29" spans="1:7" x14ac:dyDescent="0.25">
      <c r="A29" t="s">
        <v>877</v>
      </c>
      <c r="C29" t="s">
        <v>824</v>
      </c>
      <c r="D29" t="s">
        <v>906</v>
      </c>
    </row>
    <row r="30" spans="1:7" x14ac:dyDescent="0.25">
      <c r="A30" t="s">
        <v>873</v>
      </c>
      <c r="C30" t="s">
        <v>825</v>
      </c>
      <c r="D30" t="s">
        <v>907</v>
      </c>
    </row>
    <row r="31" spans="1:7" x14ac:dyDescent="0.25">
      <c r="A31" t="s">
        <v>874</v>
      </c>
      <c r="C31" t="s">
        <v>826</v>
      </c>
      <c r="D31" t="s">
        <v>881</v>
      </c>
    </row>
    <row r="32" spans="1:7" x14ac:dyDescent="0.25">
      <c r="A32" t="s">
        <v>875</v>
      </c>
      <c r="C32" t="s">
        <v>827</v>
      </c>
      <c r="D32" t="s">
        <v>908</v>
      </c>
    </row>
    <row r="33" spans="1:5" x14ac:dyDescent="0.25">
      <c r="A33" t="s">
        <v>876</v>
      </c>
      <c r="C33" t="s">
        <v>828</v>
      </c>
      <c r="D33" t="s">
        <v>885</v>
      </c>
    </row>
    <row r="34" spans="1:5" x14ac:dyDescent="0.25">
      <c r="A34" t="s">
        <v>820</v>
      </c>
      <c r="C34" t="s">
        <v>831</v>
      </c>
      <c r="D34" t="s">
        <v>820</v>
      </c>
      <c r="E34" t="s">
        <v>820</v>
      </c>
    </row>
    <row r="35" spans="1:5" x14ac:dyDescent="0.25">
      <c r="A35" t="s">
        <v>820</v>
      </c>
      <c r="C35" t="s">
        <v>832</v>
      </c>
      <c r="D35" t="s">
        <v>820</v>
      </c>
      <c r="E35" t="s">
        <v>820</v>
      </c>
    </row>
    <row r="36" spans="1:5" x14ac:dyDescent="0.25">
      <c r="A36" t="s">
        <v>820</v>
      </c>
      <c r="C36" t="s">
        <v>833</v>
      </c>
      <c r="D36" t="s">
        <v>820</v>
      </c>
      <c r="E36" t="s">
        <v>820</v>
      </c>
    </row>
    <row r="37" spans="1:5" x14ac:dyDescent="0.25">
      <c r="A37" t="s">
        <v>811</v>
      </c>
      <c r="C37" t="s">
        <v>834</v>
      </c>
      <c r="D37" t="s">
        <v>811</v>
      </c>
      <c r="E37" t="s">
        <v>811</v>
      </c>
    </row>
    <row r="38" spans="1:5" x14ac:dyDescent="0.25">
      <c r="A38" t="s">
        <v>807</v>
      </c>
      <c r="C38" t="s">
        <v>835</v>
      </c>
      <c r="D38" t="s">
        <v>807</v>
      </c>
      <c r="E38" t="s">
        <v>807</v>
      </c>
    </row>
    <row r="39" spans="1:5" x14ac:dyDescent="0.25">
      <c r="A39" t="s">
        <v>813</v>
      </c>
      <c r="C39" t="s">
        <v>839</v>
      </c>
      <c r="D39" t="s">
        <v>813</v>
      </c>
    </row>
    <row r="40" spans="1:5" x14ac:dyDescent="0.25">
      <c r="A40" t="s">
        <v>814</v>
      </c>
      <c r="C40" t="s">
        <v>836</v>
      </c>
      <c r="D40" t="s">
        <v>814</v>
      </c>
    </row>
    <row r="41" spans="1:5" x14ac:dyDescent="0.25">
      <c r="A41" t="s">
        <v>903</v>
      </c>
      <c r="C41" t="s">
        <v>837</v>
      </c>
      <c r="D41" t="s">
        <v>890</v>
      </c>
    </row>
    <row r="42" spans="1:5" x14ac:dyDescent="0.25">
      <c r="A42" t="s">
        <v>866</v>
      </c>
      <c r="C42" t="s">
        <v>840</v>
      </c>
      <c r="D42" t="s">
        <v>889</v>
      </c>
    </row>
    <row r="43" spans="1:5" x14ac:dyDescent="0.25">
      <c r="A43" t="s">
        <v>878</v>
      </c>
      <c r="C43" t="s">
        <v>899</v>
      </c>
      <c r="D43" t="s">
        <v>904</v>
      </c>
    </row>
    <row r="44" spans="1:5" x14ac:dyDescent="0.25">
      <c r="A44" t="s">
        <v>868</v>
      </c>
      <c r="C44" t="s">
        <v>900</v>
      </c>
      <c r="D44" t="s">
        <v>892</v>
      </c>
    </row>
    <row r="45" spans="1:5" x14ac:dyDescent="0.25">
      <c r="A45" t="s">
        <v>879</v>
      </c>
      <c r="C45" t="s">
        <v>901</v>
      </c>
      <c r="D45" t="s">
        <v>893</v>
      </c>
    </row>
    <row r="46" spans="1:5" x14ac:dyDescent="0.2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defaultRowHeight="15" x14ac:dyDescent="0.25"/>
  <cols>
    <col min="1" max="1" width="39.28515625" customWidth="1"/>
    <col min="2" max="2" width="20.42578125" customWidth="1"/>
    <col min="3" max="3" width="21.28515625" customWidth="1"/>
    <col min="4" max="4" width="30.140625" customWidth="1"/>
    <col min="5" max="7" width="18.7109375" customWidth="1"/>
    <col min="8" max="8" width="15.42578125" customWidth="1"/>
    <col min="9" max="9" width="23.85546875" customWidth="1"/>
    <col min="10" max="10" width="13.28515625" customWidth="1"/>
    <col min="11" max="11" width="13.5703125" customWidth="1"/>
  </cols>
  <sheetData>
    <row r="1" spans="1:11" x14ac:dyDescent="0.2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2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2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</f>
        <v>18.590769230769229</v>
      </c>
      <c r="F3" s="6"/>
      <c r="G3" s="6"/>
    </row>
    <row r="4" spans="1:11" x14ac:dyDescent="0.25">
      <c r="A4" t="s">
        <v>845</v>
      </c>
      <c r="B4">
        <v>0.6</v>
      </c>
      <c r="C4">
        <v>1</v>
      </c>
      <c r="D4">
        <f>($H$2*B4)/($I$2*C4)</f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25">
      <c r="A5" t="s">
        <v>818</v>
      </c>
      <c r="B5">
        <v>1</v>
      </c>
      <c r="C5">
        <v>1</v>
      </c>
      <c r="D5">
        <f>($H$2*B5)/($I$2*C5)</f>
        <v>0.81538461538461537</v>
      </c>
      <c r="E5" s="5">
        <f>D5*60</f>
        <v>48.92307692307692</v>
      </c>
      <c r="F5" s="6"/>
      <c r="G5" s="6"/>
      <c r="H5">
        <f>13.87/2</f>
        <v>6.9349999999999996</v>
      </c>
      <c r="I5">
        <f>2.56/2</f>
        <v>1.28</v>
      </c>
    </row>
    <row r="6" spans="1:11" x14ac:dyDescent="0.2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2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</f>
        <v>22.830769230769228</v>
      </c>
      <c r="F7" s="6"/>
      <c r="G7" s="6"/>
      <c r="H7">
        <v>5.8827999999999996</v>
      </c>
      <c r="I7">
        <v>27.213699999999999</v>
      </c>
    </row>
    <row r="8" spans="1:11" x14ac:dyDescent="0.2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</f>
        <v>26.907692307692312</v>
      </c>
      <c r="F8" s="6"/>
      <c r="G8" s="6"/>
    </row>
    <row r="9" spans="1:11" x14ac:dyDescent="0.2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2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2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2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2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2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2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2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2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2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25">
      <c r="A19" t="s">
        <v>934</v>
      </c>
      <c r="B19">
        <f>10.5+2</f>
        <v>12.5</v>
      </c>
      <c r="C19">
        <v>100</v>
      </c>
      <c r="D19">
        <f t="shared" ref="D19" si="6">($H$2*B19)/($I$2*C19)</f>
        <v>0.10192307692307692</v>
      </c>
      <c r="E19" s="5">
        <f t="shared" ref="E19" si="7">D19*60</f>
        <v>6.115384615384615</v>
      </c>
    </row>
    <row r="20" spans="1:7" x14ac:dyDescent="0.2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v>0.95499999999999996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5" x14ac:dyDescent="0.25"/>
  <cols>
    <col min="1" max="1" width="23" customWidth="1"/>
    <col min="2" max="2" width="18.140625" customWidth="1"/>
    <col min="3" max="3" width="18" customWidth="1"/>
    <col min="4" max="4" width="18.85546875" customWidth="1"/>
    <col min="5" max="5" width="19" customWidth="1"/>
  </cols>
  <sheetData>
    <row r="1" spans="1:5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25">
      <c r="A2" t="s">
        <v>140</v>
      </c>
    </row>
    <row r="3" spans="1:5" x14ac:dyDescent="0.25">
      <c r="A3" t="s">
        <v>927</v>
      </c>
    </row>
    <row r="4" spans="1:5" x14ac:dyDescent="0.25">
      <c r="A4" t="s">
        <v>928</v>
      </c>
    </row>
    <row r="5" spans="1:5" x14ac:dyDescent="0.25">
      <c r="A5" t="s">
        <v>929</v>
      </c>
    </row>
    <row r="6" spans="1:5" x14ac:dyDescent="0.25">
      <c r="A6" t="s">
        <v>930</v>
      </c>
    </row>
    <row r="7" spans="1:5" x14ac:dyDescent="0.25">
      <c r="A7" t="s">
        <v>931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6" workbookViewId="0">
      <selection activeCell="E2" sqref="E2"/>
    </sheetView>
  </sheetViews>
  <sheetFormatPr defaultRowHeight="15" x14ac:dyDescent="0.25"/>
  <cols>
    <col min="1" max="1" width="27.28515625" customWidth="1"/>
    <col min="2" max="2" width="33.7109375" customWidth="1"/>
    <col min="3" max="3" width="49.7109375" customWidth="1"/>
    <col min="4" max="4" width="67.28515625" customWidth="1"/>
    <col min="5" max="5" width="53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MasterSheet</vt:lpstr>
      <vt:lpstr>arteries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Northway, Cassidy</cp:lastModifiedBy>
  <dcterms:created xsi:type="dcterms:W3CDTF">2023-07-04T22:06:43Z</dcterms:created>
  <dcterms:modified xsi:type="dcterms:W3CDTF">2025-05-27T18:18:29Z</dcterms:modified>
</cp:coreProperties>
</file>