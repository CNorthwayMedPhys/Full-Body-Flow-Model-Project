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PHSAhome2.phsabc.ehcnet.ca\Cassidy.Northway\Remote Git\"/>
    </mc:Choice>
  </mc:AlternateContent>
  <xr:revisionPtr revIDLastSave="0" documentId="13_ncr:1_{FE0B03A2-17C1-49EB-B3DA-3FF6E79BC826}" xr6:coauthVersionLast="47" xr6:coauthVersionMax="47" xr10:uidLastSave="{00000000-0000-0000-0000-000000000000}"/>
  <bookViews>
    <workbookView xWindow="28680" yWindow="-4770" windowWidth="18240" windowHeight="28440" activeTab="4" xr2:uid="{00000000-000D-0000-FFFF-FFFF00000000}"/>
  </bookViews>
  <sheets>
    <sheet name="arteries" sheetId="1" r:id="rId1"/>
    <sheet name="veins-sup" sheetId="2" r:id="rId2"/>
    <sheet name="veins-inf" sheetId="5" r:id="rId3"/>
    <sheet name="PulArt" sheetId="4" r:id="rId4"/>
    <sheet name="A-V Mapping" sheetId="6" r:id="rId5"/>
    <sheet name="Dwell Time Calcs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7" l="1"/>
  <c r="E7" i="7"/>
  <c r="E5" i="7"/>
  <c r="E4" i="7"/>
  <c r="E3" i="7"/>
  <c r="B11" i="7"/>
  <c r="B10" i="7"/>
  <c r="D10" i="7" s="1"/>
  <c r="E10" i="7" s="1"/>
  <c r="D11" i="7"/>
  <c r="E11" i="7" s="1"/>
  <c r="D2" i="7"/>
  <c r="D3" i="7"/>
  <c r="D4" i="7"/>
  <c r="D5" i="7"/>
  <c r="D6" i="7"/>
  <c r="E6" i="7" s="1"/>
  <c r="D7" i="7"/>
  <c r="D8" i="7"/>
  <c r="D9" i="7"/>
  <c r="E9" i="7" s="1"/>
  <c r="E2" i="7"/>
  <c r="C11" i="7"/>
</calcChain>
</file>

<file path=xl/sharedStrings.xml><?xml version="1.0" encoding="utf-8"?>
<sst xmlns="http://schemas.openxmlformats.org/spreadsheetml/2006/main" count="2410" uniqueCount="867">
  <si>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</si>
  <si>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</si>
  <si>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</si>
  <si>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</si>
  <si>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</si>
  <si>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</si>
  <si>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</si>
  <si>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</si>
  <si>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</si>
  <si>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</si>
  <si>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</si>
  <si>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</si>
  <si>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</si>
  <si>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</si>
  <si>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</si>
  <si>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</si>
  <si>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</si>
  <si>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</si>
  <si>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</si>
  <si>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</si>
  <si>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</si>
  <si>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</si>
  <si>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</si>
  <si>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</si>
  <si>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</si>
  <si>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</si>
  <si>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</si>
  <si>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</si>
  <si>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</si>
  <si>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</si>
  <si>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</si>
  <si>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</si>
  <si>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</si>
  <si>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</si>
  <si>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</si>
  <si>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</si>
  <si>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</si>
  <si>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</si>
  <si>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</si>
  <si>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</si>
  <si>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</si>
  <si>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</si>
  <si>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</si>
  <si>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</si>
  <si>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</si>
  <si>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</si>
  <si>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</si>
  <si>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</si>
  <si>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</si>
  <si>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</si>
  <si>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</si>
  <si>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</si>
  <si>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</si>
  <si>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</si>
  <si>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</si>
  <si>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</si>
  <si>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</si>
  <si>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</si>
  <si>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</si>
  <si>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</si>
  <si>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</si>
  <si>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</si>
  <si>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</si>
  <si>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</si>
  <si>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</si>
  <si>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</si>
  <si>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</si>
  <si>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</si>
  <si>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</si>
  <si>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</si>
  <si>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</si>
  <si>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</si>
  <si>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</si>
  <si>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</si>
  <si>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</si>
  <si>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</si>
  <si>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</si>
  <si>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</si>
  <si>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</si>
  <si>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</si>
  <si>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</si>
  <si>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</si>
  <si>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</si>
  <si>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</si>
  <si>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</si>
  <si>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</si>
  <si>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</si>
  <si>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</si>
  <si>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</si>
  <si>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</si>
  <si>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</si>
  <si>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</si>
  <si>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</si>
  <si>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</si>
  <si>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</si>
  <si>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</si>
  <si>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</si>
  <si>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</si>
  <si>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</si>
  <si>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</si>
  <si>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</si>
  <si>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</si>
  <si>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</si>
  <si>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</si>
  <si>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</si>
  <si>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</si>
  <si>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</si>
  <si>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</si>
  <si>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</si>
  <si>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</si>
  <si>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</si>
  <si>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</si>
  <si>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</si>
  <si>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</si>
  <si>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</si>
  <si>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</si>
  <si>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</si>
  <si>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</si>
  <si>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</si>
  <si>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</si>
  <si>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</si>
  <si>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</si>
  <si>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</si>
  <si>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</si>
  <si>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</si>
  <si>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</si>
  <si>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</si>
  <si>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</si>
  <si>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</si>
  <si>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</si>
  <si>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</si>
  <si>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</si>
  <si>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</si>
  <si>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</si>
  <si>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</si>
  <si>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</si>
  <si>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</si>
  <si>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</si>
  <si>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</si>
  <si>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</si>
  <si>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</si>
  <si>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</si>
  <si>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</si>
  <si>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</si>
  <si>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</si>
  <si>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</si>
  <si>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</si>
  <si>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</si>
  <si>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</si>
  <si>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</si>
  <si>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</si>
  <si>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</si>
  <si>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</si>
  <si>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</si>
  <si>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</si>
  <si>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</si>
  <si>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</si>
  <si>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</si>
  <si>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</si>
  <si>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</si>
  <si>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</si>
  <si>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</si>
  <si>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</si>
  <si>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</si>
  <si>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</si>
  <si>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</si>
  <si>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</si>
  <si>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</si>
  <si>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</si>
  <si>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</si>
  <si>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</si>
  <si>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</si>
  <si>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</si>
  <si>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</si>
  <si>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</si>
  <si>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</si>
  <si>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</si>
  <si>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</si>
  <si>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</si>
  <si>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</si>
  <si>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</si>
  <si>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</si>
  <si>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</si>
  <si>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</si>
  <si>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</si>
  <si>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</si>
  <si>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</si>
  <si>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</si>
  <si>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</si>
  <si>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</si>
  <si>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</si>
  <si>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</si>
  <si>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</si>
  <si>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</si>
  <si>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</si>
  <si>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</si>
  <si>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</si>
  <si>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</si>
  <si>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</si>
  <si>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</si>
  <si>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</si>
  <si>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</si>
  <si>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</si>
  <si>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</si>
  <si>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</si>
  <si>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</si>
  <si>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</si>
  <si>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</si>
  <si>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</si>
  <si>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</si>
  <si>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</si>
  <si>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</si>
  <si>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</si>
  <si>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</si>
  <si>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</si>
  <si>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</si>
  <si>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</si>
  <si>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</si>
  <si>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</si>
  <si>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</si>
  <si>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</si>
  <si>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</si>
  <si>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</si>
  <si>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</si>
  <si>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</si>
  <si>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</si>
  <si>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</si>
  <si>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</si>
  <si>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</si>
  <si>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</si>
  <si>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</si>
  <si>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</si>
  <si>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</si>
  <si>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</si>
  <si>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</si>
  <si>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</si>
  <si>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</si>
  <si>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</si>
  <si>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</si>
  <si>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</si>
  <si>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</si>
  <si>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</si>
  <si>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</si>
  <si>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</si>
  <si>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</si>
  <si>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</si>
  <si>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</si>
  <si>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</si>
  <si>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</si>
  <si>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</si>
  <si>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</si>
  <si>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</si>
  <si>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</si>
  <si>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</si>
  <si>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</si>
  <si>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</si>
  <si>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</si>
  <si>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</si>
  <si>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</si>
  <si>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</si>
  <si>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</si>
  <si>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</si>
  <si>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</si>
  <si>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</si>
  <si>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</si>
  <si>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</si>
  <si>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</si>
  <si>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</si>
  <si>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</si>
  <si>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</si>
  <si>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</si>
  <si>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</si>
  <si>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</si>
  <si>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</si>
  <si>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</si>
  <si>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</si>
  <si>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</si>
  <si>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</si>
  <si>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</si>
  <si>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</si>
  <si>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</si>
  <si>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</si>
  <si>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</si>
  <si>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</si>
  <si>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</si>
  <si>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</si>
  <si>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</si>
  <si>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</si>
  <si>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</si>
  <si>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</si>
  <si>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</si>
  <si>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</si>
  <si>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</si>
  <si>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</si>
  <si>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</si>
  <si>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</si>
  <si>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</si>
  <si>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</si>
  <si>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</si>
  <si>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</si>
  <si>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</si>
  <si>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</si>
  <si>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</si>
  <si>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</si>
  <si>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</si>
  <si>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</si>
  <si>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</si>
  <si>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</si>
  <si>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</si>
  <si>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</si>
  <si>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</si>
  <si>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</si>
  <si>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</si>
  <si>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</si>
  <si>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</si>
  <si>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</si>
  <si>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</si>
  <si>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</si>
  <si>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</si>
  <si>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</si>
  <si>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</si>
  <si>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</si>
  <si>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</si>
  <si>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</si>
  <si>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</si>
  <si>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</si>
  <si>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</si>
  <si>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</si>
  <si>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</si>
  <si>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</si>
  <si>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</si>
  <si>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</si>
  <si>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</si>
  <si>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</si>
  <si>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</si>
  <si>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</si>
  <si>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</si>
  <si>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</si>
  <si>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</si>
  <si>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</si>
  <si>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</si>
  <si>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</si>
  <si>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</si>
  <si>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</si>
  <si>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</si>
  <si>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</si>
  <si>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</si>
  <si>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</si>
  <si>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</si>
  <si>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</si>
  <si>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</si>
  <si>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</si>
  <si>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</si>
  <si>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</si>
  <si>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</si>
  <si>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</si>
  <si>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</si>
  <si>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</si>
  <si>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</si>
  <si>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</si>
  <si>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</si>
  <si>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</si>
  <si>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</si>
  <si>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</si>
  <si>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</si>
  <si>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</si>
  <si>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</si>
  <si>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</si>
  <si>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</si>
  <si>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</si>
  <si>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</si>
  <si>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</si>
  <si>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</si>
  <si>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</si>
  <si>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</si>
  <si>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</si>
  <si>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</si>
  <si>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</si>
  <si>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</si>
  <si>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</si>
  <si>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</si>
  <si>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</si>
  <si>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</si>
  <si>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</si>
  <si>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</si>
  <si>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</si>
  <si>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</si>
  <si>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</si>
  <si>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</si>
  <si>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</si>
  <si>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</si>
  <si>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</si>
  <si>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</si>
  <si>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</si>
  <si>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</si>
  <si>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</si>
  <si>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</si>
  <si>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</si>
  <si>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</si>
  <si>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</si>
  <si>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</si>
  <si>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</si>
  <si>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</si>
  <si>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</si>
  <si>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</si>
  <si>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</si>
  <si>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</si>
  <si>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</si>
  <si>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</si>
  <si>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</si>
  <si>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</si>
  <si>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</si>
  <si>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</si>
  <si>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</si>
  <si>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</si>
  <si>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</si>
  <si>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</si>
  <si>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</si>
  <si>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</si>
  <si>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</si>
  <si>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</si>
  <si>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</si>
  <si>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</si>
  <si>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</si>
  <si>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</si>
  <si>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</si>
  <si>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</si>
  <si>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</si>
  <si>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</si>
  <si>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</si>
  <si>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</si>
  <si>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</si>
  <si>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</si>
  <si>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</si>
  <si>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</si>
  <si>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</si>
  <si>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</si>
  <si>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</si>
  <si>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</si>
  <si>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</si>
  <si>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</si>
  <si>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</si>
  <si>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</si>
  <si>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</si>
  <si>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</si>
  <si>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</si>
  <si>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</si>
  <si>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</si>
  <si>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</si>
  <si>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</si>
  <si>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</si>
  <si>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</si>
  <si>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</si>
  <si>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</si>
  <si>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</si>
  <si>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</si>
  <si>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</si>
  <si>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</si>
  <si>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</si>
  <si>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</si>
  <si>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</si>
  <si>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</si>
  <si>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</si>
  <si>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</si>
  <si>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</si>
  <si>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</si>
  <si>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</si>
  <si>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</si>
  <si>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</si>
  <si>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</si>
  <si>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</si>
  <si>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</si>
  <si>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</si>
  <si>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</si>
  <si>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</si>
  <si>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</si>
  <si>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</si>
  <si>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</si>
  <si>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</si>
  <si>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</si>
  <si>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</si>
  <si>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</si>
  <si>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</si>
  <si>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</si>
  <si>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</si>
  <si>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</si>
  <si>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</si>
  <si>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</si>
  <si>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</si>
  <si>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</si>
  <si>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</si>
  <si>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</si>
  <si>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</si>
  <si>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</si>
  <si>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</si>
  <si>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</si>
  <si>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</si>
  <si>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</si>
  <si>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</si>
  <si>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</si>
  <si>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</si>
  <si>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</si>
  <si>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</si>
  <si>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</si>
  <si>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</si>
  <si>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</si>
  <si>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</si>
  <si>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</si>
  <si>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</si>
  <si>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</si>
  <si>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</si>
  <si>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</si>
  <si>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</si>
  <si>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</si>
  <si>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</si>
  <si>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</si>
  <si>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</si>
  <si>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</si>
  <si>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</si>
  <si>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</si>
  <si>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</si>
  <si>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</si>
  <si>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</si>
  <si>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</si>
  <si>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</si>
  <si>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</si>
  <si>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</si>
  <si>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</si>
  <si>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</si>
  <si>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</si>
  <si>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</si>
  <si>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</si>
  <si>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</si>
  <si>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</si>
  <si>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</si>
  <si>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</si>
  <si>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</si>
  <si>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</si>
  <si>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</si>
  <si>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</si>
  <si>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</si>
  <si>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</si>
  <si>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</si>
  <si>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</si>
  <si>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</si>
  <si>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</si>
  <si>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</si>
  <si>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</si>
  <si>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</si>
  <si>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</si>
  <si>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</si>
  <si>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</si>
  <si>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</si>
  <si>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</si>
  <si>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</si>
  <si>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</si>
  <si>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</si>
  <si>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</si>
  <si>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</si>
  <si>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</si>
  <si>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</si>
  <si>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</si>
  <si>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</si>
  <si>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</si>
  <si>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</si>
  <si>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</si>
  <si>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</si>
  <si>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</si>
  <si>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</si>
  <si>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</si>
  <si>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</si>
  <si>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</si>
  <si>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</si>
  <si>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</si>
  <si>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</si>
  <si>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</si>
  <si>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</si>
  <si>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</si>
  <si>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</si>
  <si>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</si>
  <si>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</si>
  <si>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</si>
  <si>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</si>
  <si>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</si>
  <si>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</si>
  <si>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</si>
  <si>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</si>
  <si>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</si>
  <si>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</si>
  <si>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</si>
  <si>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</si>
  <si>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</si>
  <si>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</si>
  <si>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</si>
  <si>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</si>
  <si>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</si>
  <si>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</si>
  <si>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</si>
  <si>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</si>
  <si>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</si>
  <si>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</si>
  <si>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</si>
  <si>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</si>
  <si>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</si>
  <si>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</si>
  <si>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</si>
  <si>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</si>
  <si>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</si>
  <si>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</si>
  <si>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</si>
  <si>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</si>
  <si>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</si>
  <si>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</si>
  <si>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</si>
  <si>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</si>
  <si>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</si>
  <si>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</si>
  <si>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</si>
  <si>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</si>
  <si>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</si>
  <si>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</si>
  <si>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</si>
  <si>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</si>
  <si>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</si>
  <si>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</si>
  <si>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</si>
  <si>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</si>
  <si>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</si>
  <si>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</si>
  <si>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</si>
  <si>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</si>
  <si>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</si>
  <si>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</si>
  <si>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</si>
  <si>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</si>
  <si>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</si>
  <si>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</si>
  <si>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</si>
  <si>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</si>
  <si>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</si>
  <si>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</si>
  <si>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</si>
  <si>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</si>
  <si>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</si>
  <si>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</si>
  <si>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</si>
  <si>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</si>
  <si>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</si>
  <si>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</si>
  <si>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</si>
  <si>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</si>
  <si>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</si>
  <si>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</si>
  <si>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</si>
  <si>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</si>
  <si>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</si>
  <si>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</si>
  <si>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</si>
  <si>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</si>
  <si>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</si>
  <si>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</si>
  <si>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</si>
  <si>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</si>
  <si>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</si>
  <si>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</si>
  <si>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</si>
  <si>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</si>
  <si>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</si>
  <si>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</si>
  <si>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</si>
  <si>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</si>
  <si>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</si>
  <si>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</si>
  <si>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</si>
  <si>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</si>
  <si>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</si>
  <si>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</si>
  <si>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</si>
  <si>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</si>
  <si>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</si>
  <si>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</si>
  <si>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</si>
  <si>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</si>
  <si>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</si>
  <si>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</si>
  <si>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</si>
  <si>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</si>
  <si>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</si>
  <si>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</si>
  <si>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</si>
  <si>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</si>
  <si>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</si>
  <si>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</si>
  <si>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</si>
  <si>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</si>
  <si>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</si>
  <si>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</si>
  <si>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</si>
  <si>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</si>
  <si>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</si>
  <si>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</si>
  <si>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</si>
  <si>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</si>
  <si>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</si>
  <si>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</si>
  <si>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</si>
  <si>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</si>
  <si>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</si>
  <si>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</si>
  <si>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</si>
  <si>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</si>
  <si>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</si>
  <si>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</si>
  <si>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</si>
  <si>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</si>
  <si>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</si>
  <si>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</si>
  <si>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</si>
  <si>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</si>
  <si>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</si>
  <si>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</si>
  <si>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</si>
  <si>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</si>
  <si>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</si>
  <si>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</si>
  <si>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</si>
  <si>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</si>
  <si>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</si>
  <si>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</si>
  <si>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</si>
  <si>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</si>
  <si>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</si>
  <si>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</si>
  <si>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</si>
  <si>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</si>
  <si>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</si>
  <si>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</si>
  <si>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</si>
  <si>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</si>
  <si>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</si>
  <si>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</si>
  <si>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</si>
  <si>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</si>
  <si>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</si>
  <si>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</si>
  <si>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</si>
  <si>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</si>
  <si>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</si>
  <si>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</si>
  <si>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</si>
  <si>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</si>
  <si>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</si>
  <si>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</si>
  <si>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</si>
  <si>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</si>
  <si>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</si>
  <si>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</si>
  <si>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</si>
  <si>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</si>
  <si>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</si>
  <si>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</si>
  <si>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</si>
  <si>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</si>
  <si>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</si>
  <si>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</si>
  <si>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</si>
  <si>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</si>
  <si>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</si>
  <si>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</si>
  <si>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</si>
  <si>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</si>
  <si>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</si>
  <si>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</si>
  <si>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</si>
  <si>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</si>
  <si>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</si>
  <si>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</si>
  <si>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</si>
  <si>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</si>
  <si>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</si>
  <si>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</si>
  <si>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</si>
  <si>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</si>
  <si>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</si>
  <si>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</si>
  <si>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</si>
  <si>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</si>
  <si>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</si>
  <si>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</si>
  <si>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</si>
  <si>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</si>
  <si>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</si>
  <si>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</si>
  <si>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</si>
  <si>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</si>
  <si>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</si>
  <si>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</si>
  <si>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</si>
  <si>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</si>
  <si>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</si>
  <si>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</si>
  <si>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</si>
  <si>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</si>
  <si>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</si>
  <si>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</si>
  <si>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</si>
  <si>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R Arm</t>
  </si>
  <si>
    <t>L Back Head</t>
  </si>
  <si>
    <t>Mesenteric Artery</t>
  </si>
  <si>
    <t>L Arm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</si>
  <si>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</si>
  <si>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</si>
  <si>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</si>
  <si>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</si>
  <si>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</si>
  <si>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</si>
  <si>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</si>
  <si>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</si>
  <si>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>L Leg</t>
  </si>
  <si>
    <t>R Leg</t>
  </si>
  <si>
    <t xml:space="preserve">Body Region </t>
  </si>
  <si>
    <t>Supplies/Drains</t>
  </si>
  <si>
    <t>Brain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</si>
  <si>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</si>
  <si>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</si>
  <si>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</si>
  <si>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</si>
  <si>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</si>
  <si>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</si>
  <si>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</si>
  <si>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</si>
  <si>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</si>
  <si>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</si>
  <si>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</si>
  <si>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</si>
  <si>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</si>
  <si>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</si>
  <si>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</si>
  <si>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</si>
  <si>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</si>
  <si>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</si>
  <si>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I17</t>
  </si>
  <si>
    <t>I18</t>
  </si>
  <si>
    <t>I19</t>
  </si>
  <si>
    <t>veins31</t>
  </si>
  <si>
    <t>veins31, veins_rleg16</t>
  </si>
  <si>
    <t>I14</t>
  </si>
  <si>
    <t>I20</t>
  </si>
  <si>
    <t>I21</t>
  </si>
  <si>
    <t>S Intenstines and pancreas</t>
  </si>
  <si>
    <t>L Intenstine</t>
  </si>
  <si>
    <t>Organ</t>
  </si>
  <si>
    <t>S Intestines</t>
  </si>
  <si>
    <t>Pancreas</t>
  </si>
  <si>
    <t>L Intestines</t>
  </si>
  <si>
    <t>Liver (From organs)</t>
  </si>
  <si>
    <t xml:space="preserve">Liver </t>
  </si>
  <si>
    <t>% Total Blood Volume</t>
  </si>
  <si>
    <t>%  of Cardiac Output</t>
  </si>
  <si>
    <t>Total BV (mL)</t>
  </si>
  <si>
    <t>Cardiac Output (mL/min)</t>
  </si>
  <si>
    <t>1996_legget</t>
  </si>
  <si>
    <t>Dwell Time (A&gt;O&gt;V) (min)</t>
  </si>
  <si>
    <t>Dwell Time (s)</t>
  </si>
  <si>
    <t>ICRP 89</t>
  </si>
  <si>
    <t>2010_Eipel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</si>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</sst>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applyFill="1" applyBorder="1"/>
    <xf numFmtId="0" fontId="0" fillId="0" borderId="1" xfId="0" applyBorder="1"/>
    <xf numFmtId="0" fontId="0" fillId="3" borderId="0" xfId="0" applyFill="1"/>
    <xf numFmtId="0" fontId="0" fillId="4" borderId="0" xfId="0" applyFill="1"/>
    <xf numFmtId="2" fontId="2" fillId="5" borderId="0" xfId="0" applyNumberFormat="1" applyFont="1" applyFill="1"/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>
      <pane xSplit="1" topLeftCell="B1" activePane="topRight" state="frozen"/>
      <selection pane="topRight" activeCell="B40" sqref="B40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phoneticPr fontId="1" type="noConversion"/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E4" sqref="E4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799</v>
      </c>
      <c r="E4" t="s">
        <v>801</v>
      </c>
      <c r="H4" t="s">
        <v>11</v>
      </c>
    </row>
    <row r="5" spans="1:8" x14ac:dyDescent="0.25">
      <c r="A5" t="s">
        <v>696</v>
      </c>
      <c r="D5" t="s">
        <v>782</v>
      </c>
      <c r="E5" t="s">
        <v>782</v>
      </c>
      <c r="H5" t="s">
        <v>11</v>
      </c>
    </row>
    <row r="6" spans="1:8" x14ac:dyDescent="0.25">
      <c r="A6" t="s">
        <v>697</v>
      </c>
      <c r="D6" t="s">
        <v>800</v>
      </c>
      <c r="E6" t="s">
        <v>800</v>
      </c>
      <c r="H6" t="s">
        <v>11</v>
      </c>
    </row>
    <row r="7" spans="1:8" x14ac:dyDescent="0.25">
      <c r="A7" t="s">
        <v>698</v>
      </c>
      <c r="D7" t="s">
        <v>781</v>
      </c>
      <c r="E7" t="s">
        <v>781</v>
      </c>
      <c r="H7" t="s">
        <v>11</v>
      </c>
    </row>
    <row r="8" spans="1:8" x14ac:dyDescent="0.25">
      <c r="A8" t="s">
        <v>793</v>
      </c>
      <c r="D8" t="s">
        <v>795</v>
      </c>
      <c r="E8" t="s">
        <v>795</v>
      </c>
      <c r="H8" t="s">
        <v>11</v>
      </c>
    </row>
    <row r="9" spans="1:8" x14ac:dyDescent="0.25">
      <c r="A9" t="s">
        <v>794</v>
      </c>
      <c r="D9" t="s">
        <v>797</v>
      </c>
      <c r="E9" t="s">
        <v>797</v>
      </c>
      <c r="H9" t="s">
        <v>11</v>
      </c>
    </row>
    <row r="10" spans="1:8" x14ac:dyDescent="0.25">
      <c r="A10" t="s">
        <v>781</v>
      </c>
      <c r="D10" t="s">
        <v>796</v>
      </c>
      <c r="H10" t="s">
        <v>11</v>
      </c>
    </row>
    <row r="11" spans="1:8" x14ac:dyDescent="0.25">
      <c r="A11" t="s">
        <v>795</v>
      </c>
      <c r="H11" t="s">
        <v>11</v>
      </c>
    </row>
    <row r="12" spans="1:8" x14ac:dyDescent="0.25">
      <c r="A12" t="s">
        <v>796</v>
      </c>
      <c r="H12" t="s">
        <v>11</v>
      </c>
    </row>
    <row r="13" spans="1:8" x14ac:dyDescent="0.25">
      <c r="A13" t="s">
        <v>782</v>
      </c>
      <c r="D13" t="s">
        <v>798</v>
      </c>
      <c r="H13" t="s">
        <v>11</v>
      </c>
    </row>
    <row r="14" spans="1:8" x14ac:dyDescent="0.25">
      <c r="A14" t="s">
        <v>797</v>
      </c>
      <c r="H14" t="s">
        <v>11</v>
      </c>
    </row>
    <row r="15" spans="1:8" x14ac:dyDescent="0.2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3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30" customWidth="1"/>
    <col min="2" max="2" width="28.140625" customWidth="1"/>
    <col min="3" max="3" width="14.5703125" customWidth="1"/>
    <col min="4" max="4" width="119.5703125" customWidth="1"/>
    <col min="5" max="5" width="18.5703125" customWidth="1"/>
    <col min="6" max="6" width="18.140625" customWidth="1"/>
    <col min="7" max="7" width="13.5703125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2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25">
      <c r="A3" t="s">
        <v>783</v>
      </c>
      <c r="I3" t="s">
        <v>11</v>
      </c>
    </row>
    <row r="4" spans="1:9" x14ac:dyDescent="0.25">
      <c r="A4" t="s">
        <v>784</v>
      </c>
      <c r="I4" t="s">
        <v>11</v>
      </c>
    </row>
    <row r="5" spans="1:9" x14ac:dyDescent="0.25">
      <c r="A5" t="s">
        <v>785</v>
      </c>
      <c r="I5" t="s">
        <v>11</v>
      </c>
    </row>
    <row r="6" spans="1:9" x14ac:dyDescent="0.25">
      <c r="A6" t="s">
        <v>786</v>
      </c>
      <c r="I6" t="s">
        <v>11</v>
      </c>
    </row>
    <row r="7" spans="1:9" x14ac:dyDescent="0.25">
      <c r="A7" t="s">
        <v>787</v>
      </c>
      <c r="I7" t="s">
        <v>11</v>
      </c>
    </row>
    <row r="8" spans="1:9" x14ac:dyDescent="0.25">
      <c r="A8" t="s">
        <v>699</v>
      </c>
      <c r="D8" t="s">
        <v>788</v>
      </c>
      <c r="I8" t="s">
        <v>11</v>
      </c>
    </row>
    <row r="9" spans="1:9" x14ac:dyDescent="0.25">
      <c r="A9" t="s">
        <v>788</v>
      </c>
      <c r="D9" t="s">
        <v>789</v>
      </c>
      <c r="I9" t="s">
        <v>11</v>
      </c>
    </row>
    <row r="10" spans="1:9" x14ac:dyDescent="0.25">
      <c r="A10" t="s">
        <v>844</v>
      </c>
      <c r="I10" t="s">
        <v>11</v>
      </c>
    </row>
    <row r="11" spans="1:9" x14ac:dyDescent="0.25">
      <c r="A11" t="s">
        <v>789</v>
      </c>
      <c r="I11" t="s">
        <v>11</v>
      </c>
    </row>
    <row r="12" spans="1:9" x14ac:dyDescent="0.25">
      <c r="A12" t="s">
        <v>790</v>
      </c>
    </row>
    <row r="13" spans="1:9" x14ac:dyDescent="0.25">
      <c r="A13" t="s">
        <v>791</v>
      </c>
      <c r="D13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topLeftCell="A121" workbookViewId="0">
      <selection activeCell="A180" sqref="A180:G400"/>
    </sheetView>
  </sheetViews>
  <sheetFormatPr defaultRowHeight="15" x14ac:dyDescent="0.25"/>
  <cols>
    <col min="1" max="1" width="27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U44"/>
  <sheetViews>
    <sheetView tabSelected="1" workbookViewId="0">
      <selection activeCell="A4" sqref="A4"/>
    </sheetView>
  </sheetViews>
  <sheetFormatPr defaultRowHeight="15" x14ac:dyDescent="0.25"/>
  <cols>
    <col min="1" max="1" width="28.28515625" customWidth="1"/>
    <col min="2" max="2" width="19" customWidth="1"/>
    <col min="3" max="3" width="18.42578125" customWidth="1"/>
    <col min="4" max="4" width="23.140625" customWidth="1"/>
    <col min="5" max="5" width="24.5703125" customWidth="1"/>
    <col min="6" max="6" width="36.7109375" customWidth="1"/>
    <col min="7" max="7" width="26.5703125" customWidth="1"/>
    <col min="8" max="9" width="9.140625" hidden="1" customWidth="1"/>
    <col min="10" max="10" width="27" customWidth="1"/>
  </cols>
  <sheetData>
    <row r="1" spans="1:21" x14ac:dyDescent="0.25">
      <c r="A1" t="s">
        <v>866</v>
      </c>
      <c r="B1" t="s">
        <v>802</v>
      </c>
      <c r="C1" t="s">
        <v>803</v>
      </c>
      <c r="D1" t="s">
        <v>820</v>
      </c>
      <c r="E1" s="4" t="s">
        <v>821</v>
      </c>
      <c r="F1" s="3"/>
      <c r="G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 x14ac:dyDescent="0.25">
      <c r="A2" t="s">
        <v>63</v>
      </c>
      <c r="B2">
        <v>4</v>
      </c>
      <c r="D2" t="s">
        <v>804</v>
      </c>
      <c r="E2" s="4" t="s">
        <v>822</v>
      </c>
      <c r="F2" s="3"/>
      <c r="G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x14ac:dyDescent="0.25">
      <c r="A3" t="s">
        <v>79</v>
      </c>
      <c r="B3">
        <v>6</v>
      </c>
      <c r="D3" t="s">
        <v>805</v>
      </c>
      <c r="E3" s="4" t="s">
        <v>822</v>
      </c>
      <c r="F3" s="3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spans="1:21" x14ac:dyDescent="0.25">
      <c r="B4">
        <v>9</v>
      </c>
      <c r="D4" t="s">
        <v>806</v>
      </c>
      <c r="E4" s="4"/>
      <c r="F4" s="3"/>
      <c r="G4" s="3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x14ac:dyDescent="0.25">
      <c r="B5">
        <v>14</v>
      </c>
      <c r="D5" t="s">
        <v>807</v>
      </c>
      <c r="E5" s="4" t="s">
        <v>822</v>
      </c>
      <c r="F5" s="3"/>
      <c r="G5" s="3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x14ac:dyDescent="0.25">
      <c r="B6">
        <v>15</v>
      </c>
      <c r="D6" t="s">
        <v>806</v>
      </c>
      <c r="E6" s="4"/>
      <c r="F6" s="3"/>
      <c r="G6" s="3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x14ac:dyDescent="0.25">
      <c r="B7">
        <v>16</v>
      </c>
      <c r="D7" t="s">
        <v>806</v>
      </c>
      <c r="E7" s="4"/>
      <c r="F7" s="3"/>
      <c r="G7" s="3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x14ac:dyDescent="0.25">
      <c r="B8">
        <v>18</v>
      </c>
      <c r="D8" t="s">
        <v>808</v>
      </c>
      <c r="E8" s="4" t="s">
        <v>849</v>
      </c>
      <c r="F8" s="3"/>
      <c r="G8" s="3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25">
      <c r="B9">
        <v>20</v>
      </c>
      <c r="D9" t="s">
        <v>811</v>
      </c>
      <c r="E9" s="4" t="s">
        <v>823</v>
      </c>
      <c r="F9" s="3"/>
      <c r="G9" s="3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25">
      <c r="B10">
        <v>21</v>
      </c>
      <c r="D10" t="s">
        <v>809</v>
      </c>
      <c r="E10" s="4"/>
      <c r="F10" s="3"/>
      <c r="G10" s="3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x14ac:dyDescent="0.25">
      <c r="B11">
        <v>24</v>
      </c>
      <c r="D11" t="s">
        <v>810</v>
      </c>
      <c r="E11" s="4" t="s">
        <v>810</v>
      </c>
      <c r="F11" s="3"/>
      <c r="G11" s="3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x14ac:dyDescent="0.25">
      <c r="B12">
        <v>25</v>
      </c>
      <c r="D12" t="s">
        <v>812</v>
      </c>
      <c r="E12" s="4" t="s">
        <v>824</v>
      </c>
      <c r="F12" s="3"/>
      <c r="G12" s="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x14ac:dyDescent="0.25">
      <c r="B13">
        <v>26</v>
      </c>
      <c r="D13" t="s">
        <v>813</v>
      </c>
      <c r="E13" s="4" t="s">
        <v>825</v>
      </c>
      <c r="F13" s="3"/>
      <c r="G13" s="3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x14ac:dyDescent="0.25">
      <c r="B14">
        <v>27</v>
      </c>
      <c r="D14" t="s">
        <v>809</v>
      </c>
      <c r="E14" s="4"/>
      <c r="F14" s="3"/>
      <c r="G14" s="3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x14ac:dyDescent="0.25">
      <c r="B15">
        <v>28</v>
      </c>
      <c r="D15" t="s">
        <v>809</v>
      </c>
      <c r="E15" s="4"/>
      <c r="F15" s="3"/>
      <c r="G15" s="3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x14ac:dyDescent="0.25">
      <c r="B16">
        <v>30</v>
      </c>
      <c r="D16" t="s">
        <v>814</v>
      </c>
      <c r="E16" s="4" t="s">
        <v>814</v>
      </c>
      <c r="F16" s="3"/>
      <c r="G16" s="3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2:21" x14ac:dyDescent="0.25">
      <c r="B17">
        <v>32</v>
      </c>
      <c r="D17" t="s">
        <v>815</v>
      </c>
      <c r="E17" s="4" t="s">
        <v>850</v>
      </c>
      <c r="F17" s="3"/>
      <c r="G17" s="3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2:21" x14ac:dyDescent="0.25">
      <c r="B18">
        <v>35</v>
      </c>
      <c r="D18" t="s">
        <v>816</v>
      </c>
      <c r="E18" s="4"/>
      <c r="F18" s="3"/>
      <c r="G18" s="3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2:21" x14ac:dyDescent="0.25">
      <c r="B19">
        <v>37</v>
      </c>
      <c r="D19" t="s">
        <v>817</v>
      </c>
      <c r="E19" s="4"/>
      <c r="F19" s="3"/>
      <c r="G19" s="3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2:21" x14ac:dyDescent="0.25">
      <c r="B20">
        <v>40</v>
      </c>
      <c r="D20" t="s">
        <v>818</v>
      </c>
      <c r="E20" s="4"/>
      <c r="F20" s="3"/>
      <c r="G20" s="3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2:21" x14ac:dyDescent="0.25">
      <c r="B21">
        <v>42</v>
      </c>
      <c r="D21" t="s">
        <v>819</v>
      </c>
      <c r="E21" s="4"/>
      <c r="F21" s="3"/>
      <c r="G21" s="3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2:21" x14ac:dyDescent="0.25">
      <c r="B22">
        <v>43</v>
      </c>
      <c r="D22" t="s">
        <v>818</v>
      </c>
      <c r="E22" s="4"/>
      <c r="F22" s="3"/>
      <c r="G22" s="3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2:21" x14ac:dyDescent="0.25">
      <c r="B23">
        <v>44</v>
      </c>
      <c r="D23" t="s">
        <v>818</v>
      </c>
      <c r="E23" s="4"/>
      <c r="F23" s="3"/>
      <c r="G23" s="3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2:21" x14ac:dyDescent="0.25">
      <c r="B24">
        <v>45</v>
      </c>
      <c r="D24" t="s">
        <v>819</v>
      </c>
      <c r="E24" s="4"/>
      <c r="F24" s="3"/>
      <c r="G24" s="3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2:21" x14ac:dyDescent="0.25">
      <c r="B25">
        <v>46</v>
      </c>
      <c r="D25" t="s">
        <v>819</v>
      </c>
      <c r="E25" s="4"/>
      <c r="F25" s="3"/>
      <c r="G25" s="3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2:21" x14ac:dyDescent="0.25">
      <c r="C26" t="s">
        <v>826</v>
      </c>
      <c r="D26" t="s">
        <v>834</v>
      </c>
      <c r="E26" t="s">
        <v>822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2:21" x14ac:dyDescent="0.25">
      <c r="C27" t="s">
        <v>827</v>
      </c>
      <c r="D27" t="s">
        <v>835</v>
      </c>
      <c r="E27" t="s">
        <v>822</v>
      </c>
    </row>
    <row r="28" spans="2:21" x14ac:dyDescent="0.25">
      <c r="C28" t="s">
        <v>828</v>
      </c>
      <c r="D28" t="s">
        <v>806</v>
      </c>
    </row>
    <row r="29" spans="2:21" x14ac:dyDescent="0.25">
      <c r="C29" t="s">
        <v>829</v>
      </c>
      <c r="D29" t="s">
        <v>809</v>
      </c>
    </row>
    <row r="30" spans="2:21" x14ac:dyDescent="0.25">
      <c r="C30" t="s">
        <v>830</v>
      </c>
      <c r="D30" t="s">
        <v>806</v>
      </c>
    </row>
    <row r="31" spans="2:21" x14ac:dyDescent="0.25">
      <c r="C31" t="s">
        <v>831</v>
      </c>
      <c r="D31" t="s">
        <v>806</v>
      </c>
    </row>
    <row r="32" spans="2:21" x14ac:dyDescent="0.25">
      <c r="C32" t="s">
        <v>832</v>
      </c>
      <c r="D32" t="s">
        <v>809</v>
      </c>
    </row>
    <row r="33" spans="3:5" x14ac:dyDescent="0.25">
      <c r="C33" t="s">
        <v>833</v>
      </c>
      <c r="D33" t="s">
        <v>809</v>
      </c>
    </row>
    <row r="34" spans="3:5" x14ac:dyDescent="0.25">
      <c r="C34" t="s">
        <v>836</v>
      </c>
      <c r="D34" t="s">
        <v>825</v>
      </c>
      <c r="E34" t="s">
        <v>825</v>
      </c>
    </row>
    <row r="35" spans="3:5" x14ac:dyDescent="0.25">
      <c r="C35" t="s">
        <v>837</v>
      </c>
      <c r="D35" t="s">
        <v>825</v>
      </c>
      <c r="E35" t="s">
        <v>825</v>
      </c>
    </row>
    <row r="36" spans="3:5" x14ac:dyDescent="0.25">
      <c r="C36" t="s">
        <v>838</v>
      </c>
      <c r="D36" t="s">
        <v>825</v>
      </c>
      <c r="E36" t="s">
        <v>825</v>
      </c>
    </row>
    <row r="37" spans="3:5" x14ac:dyDescent="0.25">
      <c r="C37" t="s">
        <v>839</v>
      </c>
      <c r="D37" t="s">
        <v>814</v>
      </c>
      <c r="E37" t="s">
        <v>814</v>
      </c>
    </row>
    <row r="38" spans="3:5" x14ac:dyDescent="0.25">
      <c r="C38" t="s">
        <v>840</v>
      </c>
      <c r="D38" t="s">
        <v>810</v>
      </c>
      <c r="E38" t="s">
        <v>810</v>
      </c>
    </row>
    <row r="39" spans="3:5" x14ac:dyDescent="0.25">
      <c r="C39" t="s">
        <v>846</v>
      </c>
      <c r="D39" t="s">
        <v>816</v>
      </c>
    </row>
    <row r="40" spans="3:5" x14ac:dyDescent="0.25">
      <c r="C40" t="s">
        <v>841</v>
      </c>
      <c r="D40" t="s">
        <v>817</v>
      </c>
    </row>
    <row r="41" spans="3:5" x14ac:dyDescent="0.25">
      <c r="C41" t="s">
        <v>842</v>
      </c>
      <c r="D41" t="s">
        <v>818</v>
      </c>
    </row>
    <row r="42" spans="3:5" x14ac:dyDescent="0.25">
      <c r="C42" t="s">
        <v>843</v>
      </c>
      <c r="D42" t="s">
        <v>818</v>
      </c>
    </row>
    <row r="43" spans="3:5" x14ac:dyDescent="0.25">
      <c r="C43" t="s">
        <v>847</v>
      </c>
      <c r="D43" t="s">
        <v>819</v>
      </c>
    </row>
    <row r="44" spans="3:5" x14ac:dyDescent="0.25">
      <c r="C44" t="s">
        <v>848</v>
      </c>
      <c r="D44" t="s">
        <v>819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5A280-B941-4509-8B0A-1E2E1E43C816}">
  <dimension ref="A1:I11"/>
  <sheetViews>
    <sheetView workbookViewId="0">
      <selection activeCell="E10" sqref="E10"/>
    </sheetView>
  </sheetViews>
  <sheetFormatPr defaultRowHeight="15" x14ac:dyDescent="0.25"/>
  <cols>
    <col min="1" max="1" width="39.28515625" customWidth="1"/>
    <col min="2" max="2" width="20.42578125" customWidth="1"/>
    <col min="3" max="3" width="21.28515625" customWidth="1"/>
    <col min="4" max="4" width="30.140625" customWidth="1"/>
    <col min="5" max="5" width="18.7109375" customWidth="1"/>
    <col min="6" max="6" width="15.42578125" customWidth="1"/>
    <col min="7" max="7" width="23.85546875" customWidth="1"/>
    <col min="8" max="8" width="13.28515625" customWidth="1"/>
    <col min="9" max="9" width="13.5703125" customWidth="1"/>
  </cols>
  <sheetData>
    <row r="1" spans="1:9" x14ac:dyDescent="0.25">
      <c r="A1" s="5" t="s">
        <v>851</v>
      </c>
      <c r="B1" s="5" t="s">
        <v>857</v>
      </c>
      <c r="C1" s="5" t="s">
        <v>858</v>
      </c>
      <c r="D1" s="5" t="s">
        <v>862</v>
      </c>
      <c r="E1" s="5" t="s">
        <v>863</v>
      </c>
      <c r="F1" s="1" t="s">
        <v>859</v>
      </c>
      <c r="G1" s="1" t="s">
        <v>860</v>
      </c>
      <c r="I1" s="6" t="s">
        <v>861</v>
      </c>
    </row>
    <row r="2" spans="1:9" x14ac:dyDescent="0.25">
      <c r="A2" t="s">
        <v>822</v>
      </c>
      <c r="B2">
        <v>1.2</v>
      </c>
      <c r="C2">
        <v>12</v>
      </c>
      <c r="D2">
        <f>($F$2*B2)/($G$2*C2)</f>
        <v>8.1538461538461532E-2</v>
      </c>
      <c r="E2" s="7">
        <f>D2*60</f>
        <v>4.8923076923076918</v>
      </c>
      <c r="F2">
        <v>5300</v>
      </c>
      <c r="G2">
        <v>6500</v>
      </c>
      <c r="I2" t="s">
        <v>864</v>
      </c>
    </row>
    <row r="3" spans="1:9" x14ac:dyDescent="0.25">
      <c r="A3" t="s">
        <v>852</v>
      </c>
      <c r="B3">
        <v>3.8</v>
      </c>
      <c r="C3">
        <v>10</v>
      </c>
      <c r="D3">
        <f t="shared" ref="D3:D11" si="0">($F$2*B3)/($G$2*C3)</f>
        <v>0.30984615384615383</v>
      </c>
      <c r="E3" s="7">
        <f>D3*60 +E11</f>
        <v>37.902510121457489</v>
      </c>
    </row>
    <row r="4" spans="1:9" x14ac:dyDescent="0.25">
      <c r="A4" t="s">
        <v>853</v>
      </c>
      <c r="B4">
        <v>0.6</v>
      </c>
      <c r="C4">
        <v>1</v>
      </c>
      <c r="D4">
        <f t="shared" si="0"/>
        <v>0.48923076923076925</v>
      </c>
      <c r="E4" s="7">
        <f>D4*60</f>
        <v>29.353846153846156</v>
      </c>
    </row>
    <row r="5" spans="1:9" x14ac:dyDescent="0.25">
      <c r="A5" t="s">
        <v>823</v>
      </c>
      <c r="B5">
        <v>1</v>
      </c>
      <c r="C5">
        <v>1</v>
      </c>
      <c r="D5">
        <f t="shared" si="0"/>
        <v>0.81538461538461537</v>
      </c>
      <c r="E5" s="7">
        <f>D5*60 +E11</f>
        <v>68.234817813765176</v>
      </c>
    </row>
    <row r="6" spans="1:9" x14ac:dyDescent="0.25">
      <c r="A6" t="s">
        <v>810</v>
      </c>
      <c r="B6">
        <v>2</v>
      </c>
      <c r="C6">
        <v>19</v>
      </c>
      <c r="D6">
        <f t="shared" si="0"/>
        <v>8.5829959514170037E-2</v>
      </c>
      <c r="E6" s="7">
        <f t="shared" ref="E3:E11" si="1">D6*60</f>
        <v>5.1497975708502022</v>
      </c>
    </row>
    <row r="7" spans="1:9" x14ac:dyDescent="0.25">
      <c r="A7" t="s">
        <v>824</v>
      </c>
      <c r="B7">
        <v>1.4</v>
      </c>
      <c r="C7">
        <v>3</v>
      </c>
      <c r="D7">
        <f t="shared" si="0"/>
        <v>0.38051282051282048</v>
      </c>
      <c r="E7" s="7">
        <f>D7*60+E11</f>
        <v>42.142510121457491</v>
      </c>
    </row>
    <row r="8" spans="1:9" x14ac:dyDescent="0.25">
      <c r="A8" t="s">
        <v>854</v>
      </c>
      <c r="B8">
        <v>2.2000000000000002</v>
      </c>
      <c r="C8">
        <v>4</v>
      </c>
      <c r="D8">
        <f t="shared" si="0"/>
        <v>0.44846153846153852</v>
      </c>
      <c r="E8" s="7">
        <f>D8*60 + E11</f>
        <v>46.219433198380571</v>
      </c>
    </row>
    <row r="9" spans="1:9" x14ac:dyDescent="0.25">
      <c r="A9" t="s">
        <v>814</v>
      </c>
      <c r="B9">
        <v>2</v>
      </c>
      <c r="C9">
        <v>19</v>
      </c>
      <c r="D9">
        <f t="shared" si="0"/>
        <v>8.5829959514170037E-2</v>
      </c>
      <c r="E9" s="7">
        <f t="shared" si="1"/>
        <v>5.1497975708502022</v>
      </c>
    </row>
    <row r="10" spans="1:9" x14ac:dyDescent="0.25">
      <c r="A10" t="s">
        <v>856</v>
      </c>
      <c r="B10">
        <f>10/4</f>
        <v>2.5</v>
      </c>
      <c r="C10">
        <v>6.5</v>
      </c>
      <c r="D10">
        <f t="shared" si="0"/>
        <v>0.31360946745562129</v>
      </c>
      <c r="E10" s="7">
        <f t="shared" si="1"/>
        <v>18.816568047337277</v>
      </c>
      <c r="I10" s="6" t="s">
        <v>865</v>
      </c>
    </row>
    <row r="11" spans="1:9" x14ac:dyDescent="0.25">
      <c r="A11" t="s">
        <v>855</v>
      </c>
      <c r="B11">
        <f>3*10/4</f>
        <v>7.5</v>
      </c>
      <c r="C11">
        <f>25.5-6.5</f>
        <v>19</v>
      </c>
      <c r="D11">
        <f t="shared" si="0"/>
        <v>0.32186234817813764</v>
      </c>
      <c r="E11" s="7">
        <f t="shared" si="1"/>
        <v>19.311740890688259</v>
      </c>
      <c r="I11" s="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arteries</vt:lpstr>
      <vt:lpstr>veins-sup</vt:lpstr>
      <vt:lpstr>veins-inf</vt:lpstr>
      <vt:lpstr>PulArt</vt:lpstr>
      <vt:lpstr>A-V Mapping</vt:lpstr>
      <vt:lpstr>Dwell Time Calcs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Northway, Cassidy</cp:lastModifiedBy>
  <dcterms:created xsi:type="dcterms:W3CDTF">2023-07-04T22:06:43Z</dcterms:created>
  <dcterms:modified xsi:type="dcterms:W3CDTF">2024-11-27T23:36:24Z</dcterms:modified>
</cp:coreProperties>
</file>