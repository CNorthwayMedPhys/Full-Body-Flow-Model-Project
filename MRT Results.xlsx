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PHSAhome2.phsabc.ehcnet.ca\Cassidy.Northway\Remote Git\"/>
    </mc:Choice>
  </mc:AlternateContent>
  <xr:revisionPtr revIDLastSave="0" documentId="13_ncr:1_{40791628-864C-4CAE-B304-4B257B0719B6}" xr6:coauthVersionLast="47" xr6:coauthVersionMax="47" xr10:uidLastSave="{00000000-0000-0000-0000-000000000000}"/>
  <bookViews>
    <workbookView xWindow="28680" yWindow="-4770" windowWidth="182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2" i="1"/>
  <c r="F3" i="1"/>
  <c r="F4" i="1"/>
  <c r="F5" i="1"/>
  <c r="F6" i="1"/>
  <c r="F7" i="1"/>
  <c r="F8" i="1"/>
  <c r="F9" i="1"/>
  <c r="F10" i="1"/>
  <c r="F11" i="1"/>
  <c r="F12" i="1"/>
  <c r="F2" i="1"/>
</calcChain>
</file>

<file path=xl/sharedStrings.xml><?xml version="1.0" encoding="utf-8"?>
<sst xmlns="http://schemas.openxmlformats.org/spreadsheetml/2006/main" count="17" uniqueCount="17">
  <si>
    <t>Left Heart</t>
  </si>
  <si>
    <t>Right Heart</t>
  </si>
  <si>
    <t>Pancreas</t>
  </si>
  <si>
    <t>Spleen</t>
  </si>
  <si>
    <t>Stomach</t>
  </si>
  <si>
    <t>S. Intestine</t>
  </si>
  <si>
    <t>L. Intestine</t>
  </si>
  <si>
    <t>Liver</t>
  </si>
  <si>
    <t>Kidney</t>
  </si>
  <si>
    <t>Brain</t>
  </si>
  <si>
    <t>Compartment</t>
  </si>
  <si>
    <t>My Results</t>
  </si>
  <si>
    <t>My std</t>
  </si>
  <si>
    <t>HEDOS Results (Constant)</t>
  </si>
  <si>
    <t>Lungs</t>
  </si>
  <si>
    <t>relative uncert</t>
  </si>
  <si>
    <t xml:space="preserve">abs diff between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</si>
</sst>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H20" sqref="H20"/>
    </sheetView>
  </sheetViews>
  <sheetFormatPr defaultRowHeight="15" x14ac:dyDescent="0.25"/>
  <cols>
    <col min="1" max="1" width="18.85546875" customWidth="1"/>
    <col min="2" max="2" width="15.5703125" customWidth="1"/>
    <col min="4" max="4" width="38.85546875" customWidth="1"/>
  </cols>
  <sheetData>
    <row r="1" spans="1:8" x14ac:dyDescent="0.25">
      <c r="A1" t="s">
        <v>10</v>
      </c>
      <c r="B1" t="s">
        <v>11</v>
      </c>
      <c r="C1" t="s">
        <v>12</v>
      </c>
      <c r="D1" t="s">
        <v>13</v>
      </c>
      <c r="F1" t="s">
        <v>15</v>
      </c>
      <c r="H1" t="s">
        <v>16</v>
      </c>
    </row>
    <row r="2" spans="1:8" x14ac:dyDescent="0.25">
      <c r="A2" t="s">
        <v>0</v>
      </c>
      <c r="B2">
        <v>39.11</v>
      </c>
      <c r="C2">
        <v>15.62</v>
      </c>
      <c r="D2">
        <v>44</v>
      </c>
      <c r="F2">
        <f>(C2/B2) * 100</f>
        <v>39.938634620301713</v>
      </c>
      <c r="H2">
        <f>ABS(D2-B2)</f>
        <v>4.8900000000000006</v>
      </c>
    </row>
    <row r="3" spans="1:8" x14ac:dyDescent="0.25">
      <c r="A3" t="s">
        <v>1</v>
      </c>
      <c r="B3">
        <v>39.979999999999997</v>
      </c>
      <c r="C3">
        <v>14.397</v>
      </c>
      <c r="D3">
        <v>44.2</v>
      </c>
      <c r="F3">
        <f t="shared" ref="F3:F12" si="0">(C3/B3) * 100</f>
        <v>36.010505252626317</v>
      </c>
      <c r="H3">
        <f t="shared" ref="H3:H12" si="1">ABS(D3-B3)</f>
        <v>4.220000000000006</v>
      </c>
    </row>
    <row r="4" spans="1:8" x14ac:dyDescent="0.25">
      <c r="A4" t="s">
        <v>2</v>
      </c>
      <c r="B4">
        <v>155.9</v>
      </c>
      <c r="C4">
        <v>101.53</v>
      </c>
      <c r="D4">
        <v>203.7</v>
      </c>
      <c r="F4">
        <f t="shared" si="0"/>
        <v>65.125080179602307</v>
      </c>
      <c r="H4">
        <f t="shared" si="1"/>
        <v>47.799999999999983</v>
      </c>
    </row>
    <row r="5" spans="1:8" x14ac:dyDescent="0.25">
      <c r="A5" t="s">
        <v>3</v>
      </c>
      <c r="B5">
        <v>202.1</v>
      </c>
      <c r="C5">
        <v>133.6</v>
      </c>
      <c r="D5">
        <v>191.4</v>
      </c>
      <c r="F5">
        <f t="shared" si="0"/>
        <v>66.105888174171199</v>
      </c>
      <c r="H5">
        <f t="shared" si="1"/>
        <v>10.699999999999989</v>
      </c>
    </row>
    <row r="6" spans="1:8" x14ac:dyDescent="0.25">
      <c r="A6" t="s">
        <v>4</v>
      </c>
      <c r="B6">
        <v>189.9</v>
      </c>
      <c r="C6">
        <v>133.5</v>
      </c>
      <c r="D6">
        <v>196.5</v>
      </c>
      <c r="F6">
        <f t="shared" si="0"/>
        <v>70.300157977883089</v>
      </c>
      <c r="H6">
        <f t="shared" si="1"/>
        <v>6.5999999999999943</v>
      </c>
    </row>
    <row r="7" spans="1:8" x14ac:dyDescent="0.25">
      <c r="A7" t="s">
        <v>5</v>
      </c>
      <c r="B7">
        <v>173.2</v>
      </c>
      <c r="C7">
        <v>128.69999999999999</v>
      </c>
      <c r="D7">
        <v>164.3</v>
      </c>
      <c r="F7">
        <f t="shared" si="0"/>
        <v>74.307159353348723</v>
      </c>
      <c r="H7">
        <f t="shared" si="1"/>
        <v>8.8999999999999773</v>
      </c>
    </row>
    <row r="8" spans="1:8" x14ac:dyDescent="0.25">
      <c r="A8" t="s">
        <v>6</v>
      </c>
      <c r="B8">
        <v>193.7</v>
      </c>
      <c r="C8">
        <v>133.6</v>
      </c>
      <c r="D8">
        <v>188.1</v>
      </c>
      <c r="F8">
        <f t="shared" si="0"/>
        <v>68.972638100154882</v>
      </c>
      <c r="H8">
        <f t="shared" si="1"/>
        <v>5.5999999999999943</v>
      </c>
    </row>
    <row r="9" spans="1:8" x14ac:dyDescent="0.25">
      <c r="A9" t="s">
        <v>7</v>
      </c>
      <c r="B9">
        <v>122</v>
      </c>
      <c r="C9">
        <v>103.9</v>
      </c>
      <c r="D9">
        <v>114.4</v>
      </c>
      <c r="F9">
        <f t="shared" si="0"/>
        <v>85.163934426229517</v>
      </c>
      <c r="H9">
        <f t="shared" si="1"/>
        <v>7.5999999999999943</v>
      </c>
    </row>
    <row r="10" spans="1:8" x14ac:dyDescent="0.25">
      <c r="A10" t="s">
        <v>8</v>
      </c>
      <c r="B10">
        <v>144.69999999999999</v>
      </c>
      <c r="C10">
        <v>127.5</v>
      </c>
      <c r="D10">
        <v>124.1</v>
      </c>
      <c r="F10">
        <f t="shared" si="0"/>
        <v>88.113337940566694</v>
      </c>
      <c r="H10">
        <f t="shared" si="1"/>
        <v>20.599999999999994</v>
      </c>
    </row>
    <row r="11" spans="1:8" x14ac:dyDescent="0.25">
      <c r="A11" t="s">
        <v>9</v>
      </c>
      <c r="B11">
        <v>184.7</v>
      </c>
      <c r="C11">
        <v>141.58000000000001</v>
      </c>
      <c r="D11">
        <v>145.4</v>
      </c>
      <c r="F11">
        <f t="shared" si="0"/>
        <v>76.654033567948034</v>
      </c>
      <c r="H11">
        <f t="shared" si="1"/>
        <v>39.299999999999983</v>
      </c>
    </row>
    <row r="12" spans="1:8" x14ac:dyDescent="0.25">
      <c r="A12" t="s">
        <v>14</v>
      </c>
      <c r="B12">
        <v>38.6</v>
      </c>
      <c r="C12">
        <v>15</v>
      </c>
      <c r="D12">
        <v>41.3</v>
      </c>
      <c r="F12">
        <f t="shared" si="0"/>
        <v>38.860103626943001</v>
      </c>
      <c r="H12">
        <f t="shared" si="1"/>
        <v>2.6999999999999957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Northway, Cassidy</dc:creator>
  <cp:lastModifiedBy>Northway, Cassidy</cp:lastModifiedBy>
  <dcterms:created xsi:type="dcterms:W3CDTF">2015-06-05T18:17:20Z</dcterms:created>
  <dcterms:modified xsi:type="dcterms:W3CDTF">2025-10-24T18:38:13Z</dcterms:modified>
</cp:coreProperties>
</file>