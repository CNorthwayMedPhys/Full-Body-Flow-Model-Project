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TBI MC\"/>
    </mc:Choice>
  </mc:AlternateContent>
  <xr:revisionPtr revIDLastSave="0" documentId="13_ncr:1_{554040A6-5AB2-410A-A38F-5BF5D35E7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" sheetId="4" r:id="rId1"/>
    <sheet name="OLD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4" l="1"/>
  <c r="E27" i="4"/>
  <c r="H27" i="4" s="1"/>
  <c r="J27" i="4" s="1"/>
  <c r="I26" i="4" l="1"/>
  <c r="E26" i="4"/>
  <c r="H26" i="4" s="1"/>
  <c r="J26" i="4" s="1"/>
  <c r="I23" i="4" l="1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24" i="4"/>
  <c r="E24" i="4"/>
  <c r="H24" i="4" s="1"/>
  <c r="J24" i="4" s="1"/>
  <c r="E23" i="4"/>
  <c r="H23" i="4" s="1"/>
  <c r="J23" i="4" s="1"/>
  <c r="E22" i="4"/>
  <c r="H22" i="4" s="1"/>
  <c r="J22" i="4" s="1"/>
  <c r="E21" i="4"/>
  <c r="H21" i="4" s="1"/>
  <c r="E20" i="4"/>
  <c r="H20" i="4" s="1"/>
  <c r="E19" i="4"/>
  <c r="H19" i="4" s="1"/>
  <c r="E18" i="4"/>
  <c r="H18" i="4" s="1"/>
  <c r="E17" i="4"/>
  <c r="H17" i="4" s="1"/>
  <c r="E16" i="4"/>
  <c r="H16" i="4" s="1"/>
  <c r="E15" i="4"/>
  <c r="H15" i="4" s="1"/>
  <c r="E14" i="4"/>
  <c r="H14" i="4" s="1"/>
  <c r="E13" i="4"/>
  <c r="H13" i="4" s="1"/>
  <c r="E12" i="4"/>
  <c r="H12" i="4" s="1"/>
  <c r="E11" i="4"/>
  <c r="H11" i="4" s="1"/>
  <c r="J11" i="4" s="1"/>
  <c r="E10" i="4"/>
  <c r="H10" i="4" s="1"/>
  <c r="J10" i="4" s="1"/>
  <c r="E9" i="4"/>
  <c r="H9" i="4" s="1"/>
  <c r="J9" i="4" s="1"/>
  <c r="E8" i="4"/>
  <c r="H8" i="4" s="1"/>
  <c r="J8" i="4" s="1"/>
  <c r="E7" i="4"/>
  <c r="H7" i="4" s="1"/>
  <c r="J7" i="4" s="1"/>
  <c r="E6" i="4"/>
  <c r="H6" i="4" s="1"/>
  <c r="J6" i="4" s="1"/>
  <c r="E5" i="4"/>
  <c r="H5" i="4" s="1"/>
  <c r="J5" i="4" s="1"/>
  <c r="E4" i="4"/>
  <c r="H4" i="4" s="1"/>
  <c r="J4" i="4" s="1"/>
  <c r="E3" i="4"/>
  <c r="H3" i="4" s="1"/>
  <c r="E2" i="4"/>
  <c r="H2" i="4" s="1"/>
  <c r="I24" i="1"/>
  <c r="J20" i="4" l="1"/>
  <c r="J21" i="4"/>
  <c r="J14" i="4"/>
  <c r="J16" i="4"/>
  <c r="K16" i="4" s="1"/>
  <c r="J17" i="4"/>
  <c r="J2" i="4"/>
  <c r="J18" i="4"/>
  <c r="J3" i="4"/>
  <c r="J19" i="4"/>
  <c r="J13" i="4"/>
  <c r="J12" i="4"/>
  <c r="J15" i="4"/>
  <c r="E24" i="1"/>
  <c r="H24" i="1" s="1"/>
  <c r="J24" i="1" s="1"/>
  <c r="I23" i="1" l="1"/>
  <c r="I22" i="1"/>
  <c r="E22" i="1"/>
  <c r="H22" i="1" s="1"/>
  <c r="J22" i="1" s="1"/>
  <c r="E23" i="1"/>
  <c r="H23" i="1" s="1"/>
  <c r="J23" i="1" s="1"/>
  <c r="I19" i="1" l="1"/>
  <c r="I20" i="1"/>
  <c r="I21" i="1"/>
  <c r="E19" i="1"/>
  <c r="H19" i="1" s="1"/>
  <c r="J19" i="1" s="1"/>
  <c r="E20" i="1"/>
  <c r="H20" i="1" s="1"/>
  <c r="J20" i="1" s="1"/>
  <c r="E21" i="1"/>
  <c r="H21" i="1" s="1"/>
  <c r="J21" i="1" s="1"/>
  <c r="I16" i="1" l="1"/>
  <c r="I17" i="1"/>
  <c r="I18" i="1"/>
  <c r="E18" i="1"/>
  <c r="H18" i="1" s="1"/>
  <c r="J18" i="1" s="1"/>
  <c r="E17" i="1"/>
  <c r="H17" i="1" s="1"/>
  <c r="J17" i="1" s="1"/>
  <c r="E16" i="1"/>
  <c r="H16" i="1" s="1"/>
  <c r="J16" i="1" s="1"/>
  <c r="I14" i="1" l="1"/>
  <c r="I15" i="1"/>
  <c r="E15" i="1"/>
  <c r="H15" i="1" s="1"/>
  <c r="J15" i="1" s="1"/>
  <c r="E14" i="1"/>
  <c r="H14" i="1" s="1"/>
  <c r="J14" i="1" s="1"/>
  <c r="I3" i="1" l="1"/>
  <c r="I4" i="1"/>
  <c r="I5" i="1"/>
  <c r="I6" i="1"/>
  <c r="I7" i="1"/>
  <c r="I8" i="1"/>
  <c r="I9" i="1"/>
  <c r="I10" i="1"/>
  <c r="I11" i="1"/>
  <c r="I12" i="1"/>
  <c r="I13" i="1"/>
  <c r="I2" i="1"/>
  <c r="E3" i="1"/>
  <c r="H3" i="1" s="1"/>
  <c r="E4" i="1"/>
  <c r="H4" i="1" s="1"/>
  <c r="J4" i="1" s="1"/>
  <c r="E5" i="1"/>
  <c r="H5" i="1" s="1"/>
  <c r="J5" i="1" s="1"/>
  <c r="E6" i="1"/>
  <c r="H6" i="1" s="1"/>
  <c r="J6" i="1" s="1"/>
  <c r="E7" i="1"/>
  <c r="H7" i="1" s="1"/>
  <c r="J7" i="1" s="1"/>
  <c r="E8" i="1"/>
  <c r="H8" i="1" s="1"/>
  <c r="J8" i="1" s="1"/>
  <c r="E9" i="1"/>
  <c r="H9" i="1" s="1"/>
  <c r="J9" i="1" s="1"/>
  <c r="E10" i="1"/>
  <c r="H10" i="1" s="1"/>
  <c r="E11" i="1"/>
  <c r="H11" i="1" s="1"/>
  <c r="E12" i="1"/>
  <c r="H12" i="1" s="1"/>
  <c r="E13" i="1"/>
  <c r="H13" i="1" s="1"/>
  <c r="J13" i="1" s="1"/>
  <c r="E2" i="1"/>
  <c r="H2" i="1" s="1"/>
  <c r="J12" i="1" l="1"/>
  <c r="J11" i="1"/>
  <c r="J10" i="1"/>
  <c r="J2" i="1"/>
  <c r="J3" i="1"/>
</calcChain>
</file>

<file path=xl/sharedStrings.xml><?xml version="1.0" encoding="utf-8"?>
<sst xmlns="http://schemas.openxmlformats.org/spreadsheetml/2006/main" count="162" uniqueCount="58">
  <si>
    <t>VC_TBI01</t>
  </si>
  <si>
    <t>Source calib date</t>
  </si>
  <si>
    <t>Aug 13 2015</t>
  </si>
  <si>
    <t>Tx start</t>
  </si>
  <si>
    <t>days</t>
  </si>
  <si>
    <t>VC_TBI02</t>
  </si>
  <si>
    <t>VC_TBI03</t>
  </si>
  <si>
    <t>VC_TBI04</t>
  </si>
  <si>
    <t>VC_TBI05</t>
  </si>
  <si>
    <t>VC_TBI06</t>
  </si>
  <si>
    <t>VC_TBI07</t>
  </si>
  <si>
    <t>VC_TBI08</t>
  </si>
  <si>
    <t>VC_TBI09</t>
  </si>
  <si>
    <t>VC_TBI10</t>
  </si>
  <si>
    <t>VC_TBI11</t>
  </si>
  <si>
    <t>VC_TBI12</t>
  </si>
  <si>
    <t>exp factor</t>
  </si>
  <si>
    <t xml:space="preserve">Tx time </t>
  </si>
  <si>
    <t>times six</t>
  </si>
  <si>
    <t>product</t>
  </si>
  <si>
    <t>calib fact</t>
  </si>
  <si>
    <t>FINAL VALUE</t>
  </si>
  <si>
    <t>Aug 22 2016</t>
  </si>
  <si>
    <t>Jan 25 2016</t>
  </si>
  <si>
    <t>Sept 6 2016</t>
  </si>
  <si>
    <t>Sept 26 2016</t>
  </si>
  <si>
    <t>Feb 28 2017</t>
  </si>
  <si>
    <t>Aug 2 2016</t>
  </si>
  <si>
    <t>Feb 29 2016</t>
  </si>
  <si>
    <t>May 31 2016</t>
  </si>
  <si>
    <t>Feb 23 2016</t>
  </si>
  <si>
    <t>VC_TBI13</t>
  </si>
  <si>
    <t>VC_TBI14</t>
  </si>
  <si>
    <t>May 29 2017</t>
  </si>
  <si>
    <t>June 13 2017</t>
  </si>
  <si>
    <t>VC_TBI15</t>
  </si>
  <si>
    <t>VC_TBI16</t>
  </si>
  <si>
    <t>VC_TBI17</t>
  </si>
  <si>
    <t>Sept 9 2015</t>
  </si>
  <si>
    <t>Sept 14 2015</t>
  </si>
  <si>
    <t>Dec 1 2015</t>
  </si>
  <si>
    <t>VC_TBI18</t>
  </si>
  <si>
    <t>VC_TBI19</t>
  </si>
  <si>
    <t>VC_TBI20</t>
  </si>
  <si>
    <t>Sept 5 2017</t>
  </si>
  <si>
    <t>Oct 7 2015</t>
  </si>
  <si>
    <t>June 1 2016</t>
  </si>
  <si>
    <t>July 11 2017</t>
  </si>
  <si>
    <t>Sept 21 2015</t>
  </si>
  <si>
    <t>Hussein A1</t>
  </si>
  <si>
    <t>Stolte A2</t>
  </si>
  <si>
    <t>Sept 11 2017</t>
  </si>
  <si>
    <t>Nov 14 2017</t>
  </si>
  <si>
    <t>TBI phantom</t>
  </si>
  <si>
    <t>Jan 26 2018</t>
  </si>
  <si>
    <t>VC_TBI21</t>
  </si>
  <si>
    <t>June 4 2018</t>
  </si>
  <si>
    <t>fractions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</si>
</sst>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0" fontId="0" fillId="2" borderId="0" xfId="0" applyFill="1"/>
    <xf numFmtId="1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G2" sqref="G2"/>
    </sheetView>
  </sheetViews>
  <sheetFormatPr defaultRowHeight="15" x14ac:dyDescent="0.25"/>
  <cols>
    <col min="1" max="1" width="11.5703125" customWidth="1"/>
    <col min="2" max="2" width="16.28515625" customWidth="1"/>
    <col min="3" max="3" width="13.5703125" style="3" customWidth="1"/>
    <col min="4" max="4" width="9.140625" style="3"/>
    <col min="5" max="5" width="11" customWidth="1"/>
    <col min="6" max="6" width="9.140625" style="3"/>
    <col min="9" max="9" width="16" customWidth="1"/>
    <col min="10" max="10" width="16.7109375" customWidth="1"/>
    <col min="11" max="11" width="12" bestFit="1" customWidth="1"/>
  </cols>
  <sheetData>
    <row r="1" spans="1:11" x14ac:dyDescent="0.25">
      <c r="B1" t="s">
        <v>1</v>
      </c>
      <c r="C1" s="3" t="s">
        <v>3</v>
      </c>
      <c r="D1" s="3" t="s">
        <v>4</v>
      </c>
      <c r="E1" t="s">
        <v>16</v>
      </c>
      <c r="F1" s="3" t="s">
        <v>17</v>
      </c>
      <c r="G1" t="s">
        <v>57</v>
      </c>
      <c r="H1" t="s">
        <v>19</v>
      </c>
      <c r="I1" t="s">
        <v>20</v>
      </c>
      <c r="J1" s="1" t="s">
        <v>21</v>
      </c>
    </row>
    <row r="2" spans="1:11" x14ac:dyDescent="0.25">
      <c r="A2" s="1" t="s">
        <v>0</v>
      </c>
      <c r="B2" t="s">
        <v>2</v>
      </c>
      <c r="C2" s="3" t="s">
        <v>23</v>
      </c>
      <c r="D2" s="3">
        <v>165</v>
      </c>
      <c r="E2">
        <f>EXP(-LN(2)*D2/1921.5)</f>
        <v>0.94221590215173023</v>
      </c>
      <c r="F2" s="3">
        <v>6.88</v>
      </c>
      <c r="G2">
        <v>6</v>
      </c>
      <c r="H2">
        <f>E2*F2*G2</f>
        <v>38.89467244082342</v>
      </c>
      <c r="I2">
        <f t="shared" ref="I2:I23" si="0">1.1745*10^15</f>
        <v>1174500000000000</v>
      </c>
      <c r="J2">
        <f>H2*I2</f>
        <v>4.5681792781747104E+16</v>
      </c>
    </row>
    <row r="3" spans="1:11" x14ac:dyDescent="0.25">
      <c r="A3" s="1" t="s">
        <v>5</v>
      </c>
      <c r="B3" t="s">
        <v>2</v>
      </c>
      <c r="C3" s="3" t="s">
        <v>24</v>
      </c>
      <c r="D3" s="3">
        <v>390</v>
      </c>
      <c r="E3">
        <f t="shared" ref="E3:E24" si="1">EXP(-LN(2)*D3/1921.5)</f>
        <v>0.86876239861484883</v>
      </c>
      <c r="F3" s="3">
        <v>6.33</v>
      </c>
      <c r="G3">
        <v>6</v>
      </c>
      <c r="H3">
        <f t="shared" ref="H3:H24" si="2">E3*F3*G3</f>
        <v>32.995595899391958</v>
      </c>
      <c r="I3">
        <f t="shared" si="0"/>
        <v>1174500000000000</v>
      </c>
      <c r="J3">
        <f t="shared" ref="J3:J24" si="3">H3*I3</f>
        <v>3.8753327383835856E+16</v>
      </c>
    </row>
    <row r="4" spans="1:11" x14ac:dyDescent="0.25">
      <c r="A4" s="1" t="s">
        <v>6</v>
      </c>
      <c r="B4" t="s">
        <v>2</v>
      </c>
      <c r="C4" s="3" t="s">
        <v>25</v>
      </c>
      <c r="D4" s="3">
        <v>410</v>
      </c>
      <c r="E4">
        <f t="shared" si="1"/>
        <v>0.86251714060729956</v>
      </c>
      <c r="F4" s="3">
        <v>7.13</v>
      </c>
      <c r="G4">
        <v>6</v>
      </c>
      <c r="H4">
        <f t="shared" si="2"/>
        <v>36.898483275180276</v>
      </c>
      <c r="I4">
        <f t="shared" si="0"/>
        <v>1174500000000000</v>
      </c>
      <c r="J4">
        <f t="shared" si="3"/>
        <v>4.3337268606699232E+16</v>
      </c>
    </row>
    <row r="5" spans="1:11" x14ac:dyDescent="0.25">
      <c r="A5" s="1" t="s">
        <v>7</v>
      </c>
      <c r="B5" t="s">
        <v>2</v>
      </c>
      <c r="C5" s="4" t="s">
        <v>47</v>
      </c>
      <c r="D5" s="3">
        <v>698</v>
      </c>
      <c r="E5">
        <f t="shared" si="1"/>
        <v>0.77740706749140209</v>
      </c>
      <c r="F5" s="3">
        <v>7.3</v>
      </c>
      <c r="G5">
        <v>6</v>
      </c>
      <c r="H5">
        <f t="shared" si="2"/>
        <v>34.050429556123412</v>
      </c>
      <c r="I5">
        <f t="shared" si="0"/>
        <v>1174500000000000</v>
      </c>
      <c r="J5">
        <f t="shared" si="3"/>
        <v>3.9992229513666944E+16</v>
      </c>
    </row>
    <row r="6" spans="1:11" x14ac:dyDescent="0.25">
      <c r="A6" s="1" t="s">
        <v>8</v>
      </c>
      <c r="B6" t="s">
        <v>2</v>
      </c>
      <c r="C6" s="3" t="s">
        <v>22</v>
      </c>
      <c r="D6" s="3">
        <v>375</v>
      </c>
      <c r="E6">
        <f t="shared" si="1"/>
        <v>0.87347600004895964</v>
      </c>
      <c r="F6" s="3">
        <v>7.51</v>
      </c>
      <c r="G6">
        <v>6</v>
      </c>
      <c r="H6">
        <f t="shared" si="2"/>
        <v>39.358828562206121</v>
      </c>
      <c r="I6">
        <f t="shared" si="0"/>
        <v>1174500000000000</v>
      </c>
      <c r="J6">
        <f t="shared" si="3"/>
        <v>4.6226944146311088E+16</v>
      </c>
    </row>
    <row r="7" spans="1:11" x14ac:dyDescent="0.25">
      <c r="A7" s="1" t="s">
        <v>9</v>
      </c>
      <c r="B7" t="s">
        <v>2</v>
      </c>
      <c r="C7" s="3" t="s">
        <v>26</v>
      </c>
      <c r="D7" s="3">
        <v>565</v>
      </c>
      <c r="E7">
        <f t="shared" si="1"/>
        <v>0.81561424975166441</v>
      </c>
      <c r="F7" s="3">
        <v>6.86</v>
      </c>
      <c r="G7">
        <v>6</v>
      </c>
      <c r="H7">
        <f t="shared" si="2"/>
        <v>33.570682519778508</v>
      </c>
      <c r="I7">
        <f t="shared" si="0"/>
        <v>1174500000000000</v>
      </c>
      <c r="J7">
        <f t="shared" si="3"/>
        <v>3.9428766619479856E+16</v>
      </c>
    </row>
    <row r="8" spans="1:11" x14ac:dyDescent="0.25">
      <c r="A8" s="1" t="s">
        <v>10</v>
      </c>
      <c r="B8" t="s">
        <v>2</v>
      </c>
      <c r="C8" s="3" t="s">
        <v>27</v>
      </c>
      <c r="D8" s="3">
        <v>355</v>
      </c>
      <c r="E8">
        <f t="shared" si="1"/>
        <v>0.87980060825311313</v>
      </c>
      <c r="F8" s="3">
        <v>7.35</v>
      </c>
      <c r="G8">
        <v>6</v>
      </c>
      <c r="H8">
        <f t="shared" si="2"/>
        <v>38.799206823962287</v>
      </c>
      <c r="I8">
        <f t="shared" si="0"/>
        <v>1174500000000000</v>
      </c>
      <c r="J8">
        <f t="shared" si="3"/>
        <v>4.5569668414743704E+16</v>
      </c>
    </row>
    <row r="9" spans="1:11" x14ac:dyDescent="0.25">
      <c r="A9" s="1" t="s">
        <v>11</v>
      </c>
      <c r="B9" t="s">
        <v>2</v>
      </c>
      <c r="C9" s="3" t="s">
        <v>46</v>
      </c>
      <c r="D9" s="3">
        <v>292</v>
      </c>
      <c r="E9">
        <f t="shared" si="1"/>
        <v>0.9000240069304879</v>
      </c>
      <c r="F9" s="3">
        <v>7.12</v>
      </c>
      <c r="G9">
        <v>6</v>
      </c>
      <c r="H9">
        <f t="shared" si="2"/>
        <v>38.44902557607044</v>
      </c>
      <c r="I9">
        <f t="shared" si="0"/>
        <v>1174500000000000</v>
      </c>
      <c r="J9">
        <f t="shared" si="3"/>
        <v>4.5158380539094728E+16</v>
      </c>
    </row>
    <row r="10" spans="1:11" x14ac:dyDescent="0.25">
      <c r="A10" s="1" t="s">
        <v>12</v>
      </c>
      <c r="B10" t="s">
        <v>2</v>
      </c>
      <c r="C10" s="3" t="s">
        <v>24</v>
      </c>
      <c r="D10" s="3">
        <v>390</v>
      </c>
      <c r="E10">
        <f t="shared" si="1"/>
        <v>0.86876239861484883</v>
      </c>
      <c r="F10" s="3">
        <v>6.41</v>
      </c>
      <c r="G10">
        <v>6</v>
      </c>
      <c r="H10">
        <f t="shared" si="2"/>
        <v>33.412601850727086</v>
      </c>
      <c r="I10">
        <f t="shared" si="0"/>
        <v>1174500000000000</v>
      </c>
      <c r="J10">
        <f t="shared" si="3"/>
        <v>3.924310087367896E+16</v>
      </c>
    </row>
    <row r="11" spans="1:11" x14ac:dyDescent="0.25">
      <c r="A11" s="1" t="s">
        <v>13</v>
      </c>
      <c r="B11" t="s">
        <v>2</v>
      </c>
      <c r="C11" s="3" t="s">
        <v>28</v>
      </c>
      <c r="D11" s="3">
        <v>200</v>
      </c>
      <c r="E11">
        <f t="shared" si="1"/>
        <v>0.93039461383379241</v>
      </c>
      <c r="F11" s="3">
        <v>6.16</v>
      </c>
      <c r="G11">
        <v>6</v>
      </c>
      <c r="H11">
        <f t="shared" si="2"/>
        <v>34.387384927296971</v>
      </c>
      <c r="I11">
        <f t="shared" si="0"/>
        <v>1174500000000000</v>
      </c>
      <c r="J11">
        <f t="shared" si="3"/>
        <v>4.0387983597110296E+16</v>
      </c>
    </row>
    <row r="12" spans="1:11" x14ac:dyDescent="0.25">
      <c r="A12" s="1" t="s">
        <v>14</v>
      </c>
      <c r="B12" t="s">
        <v>2</v>
      </c>
      <c r="C12" s="3" t="s">
        <v>29</v>
      </c>
      <c r="D12" s="3">
        <v>292</v>
      </c>
      <c r="E12">
        <f t="shared" si="1"/>
        <v>0.9000240069304879</v>
      </c>
      <c r="F12" s="3">
        <v>7.18</v>
      </c>
      <c r="G12">
        <v>6</v>
      </c>
      <c r="H12">
        <f t="shared" si="2"/>
        <v>38.773034218565414</v>
      </c>
      <c r="I12">
        <f t="shared" si="0"/>
        <v>1174500000000000</v>
      </c>
      <c r="J12">
        <f t="shared" si="3"/>
        <v>4.553892868970508E+16</v>
      </c>
    </row>
    <row r="13" spans="1:11" x14ac:dyDescent="0.25">
      <c r="A13" s="1" t="s">
        <v>15</v>
      </c>
      <c r="B13" t="s">
        <v>2</v>
      </c>
      <c r="C13" s="3" t="s">
        <v>30</v>
      </c>
      <c r="D13" s="3">
        <v>194</v>
      </c>
      <c r="E13">
        <f t="shared" si="1"/>
        <v>0.9324105351966665</v>
      </c>
      <c r="F13" s="3">
        <v>6.97</v>
      </c>
      <c r="G13">
        <v>6</v>
      </c>
      <c r="H13">
        <f t="shared" si="2"/>
        <v>38.993408581924591</v>
      </c>
      <c r="I13">
        <f t="shared" si="0"/>
        <v>1174500000000000</v>
      </c>
      <c r="J13">
        <f t="shared" si="3"/>
        <v>4.5797758379470432E+16</v>
      </c>
    </row>
    <row r="14" spans="1:11" x14ac:dyDescent="0.25">
      <c r="A14" s="1" t="s">
        <v>31</v>
      </c>
      <c r="B14" t="s">
        <v>2</v>
      </c>
      <c r="C14" s="3" t="s">
        <v>33</v>
      </c>
      <c r="D14" s="3">
        <v>655</v>
      </c>
      <c r="E14">
        <f t="shared" si="1"/>
        <v>0.7895598197212258</v>
      </c>
      <c r="F14" s="3">
        <v>7.75</v>
      </c>
      <c r="G14">
        <v>6</v>
      </c>
      <c r="H14">
        <f t="shared" si="2"/>
        <v>36.714531617036997</v>
      </c>
      <c r="I14">
        <f t="shared" si="0"/>
        <v>1174500000000000</v>
      </c>
      <c r="J14">
        <f t="shared" si="3"/>
        <v>4.3121217384209952E+16</v>
      </c>
    </row>
    <row r="15" spans="1:11" x14ac:dyDescent="0.25">
      <c r="A15" s="1" t="s">
        <v>32</v>
      </c>
      <c r="B15" t="s">
        <v>2</v>
      </c>
      <c r="C15" s="3" t="s">
        <v>34</v>
      </c>
      <c r="D15" s="3">
        <v>669</v>
      </c>
      <c r="E15">
        <f t="shared" si="1"/>
        <v>0.78558239507776972</v>
      </c>
      <c r="F15" s="3">
        <v>7.52</v>
      </c>
      <c r="G15">
        <v>6</v>
      </c>
      <c r="H15">
        <f t="shared" si="2"/>
        <v>35.445477665908967</v>
      </c>
      <c r="I15">
        <f t="shared" si="0"/>
        <v>1174500000000000</v>
      </c>
      <c r="J15">
        <f t="shared" si="3"/>
        <v>4.163071351861008E+16</v>
      </c>
    </row>
    <row r="16" spans="1:11" x14ac:dyDescent="0.25">
      <c r="A16" s="1" t="s">
        <v>35</v>
      </c>
      <c r="B16" t="s">
        <v>2</v>
      </c>
      <c r="C16" s="3" t="s">
        <v>38</v>
      </c>
      <c r="D16" s="3">
        <v>27</v>
      </c>
      <c r="E16">
        <f t="shared" si="1"/>
        <v>0.99030750494364084</v>
      </c>
      <c r="F16" s="3">
        <v>5.67</v>
      </c>
      <c r="G16">
        <v>6</v>
      </c>
      <c r="H16">
        <f t="shared" si="2"/>
        <v>33.690261318182664</v>
      </c>
      <c r="I16">
        <f t="shared" si="0"/>
        <v>1174500000000000</v>
      </c>
      <c r="J16">
        <f t="shared" si="3"/>
        <v>3.9569211918205536E+16</v>
      </c>
      <c r="K16">
        <f>J16/6</f>
        <v>6594868653034256</v>
      </c>
    </row>
    <row r="17" spans="1:10" x14ac:dyDescent="0.25">
      <c r="A17" s="1" t="s">
        <v>36</v>
      </c>
      <c r="B17" t="s">
        <v>2</v>
      </c>
      <c r="C17" s="3" t="s">
        <v>39</v>
      </c>
      <c r="D17" s="3">
        <v>32</v>
      </c>
      <c r="E17">
        <f t="shared" si="1"/>
        <v>0.98852293511734801</v>
      </c>
      <c r="F17" s="3">
        <v>5.42</v>
      </c>
      <c r="G17">
        <v>6</v>
      </c>
      <c r="H17">
        <f t="shared" si="2"/>
        <v>32.146765850016159</v>
      </c>
      <c r="I17">
        <f t="shared" si="0"/>
        <v>1174500000000000</v>
      </c>
      <c r="J17">
        <f t="shared" si="3"/>
        <v>3.7756376490843976E+16</v>
      </c>
    </row>
    <row r="18" spans="1:10" x14ac:dyDescent="0.25">
      <c r="A18" s="1" t="s">
        <v>37</v>
      </c>
      <c r="B18" t="s">
        <v>2</v>
      </c>
      <c r="C18" s="3" t="s">
        <v>40</v>
      </c>
      <c r="D18" s="3">
        <v>110</v>
      </c>
      <c r="E18">
        <f t="shared" si="1"/>
        <v>0.96109640584669942</v>
      </c>
      <c r="F18" s="3">
        <v>6.52</v>
      </c>
      <c r="G18">
        <v>6</v>
      </c>
      <c r="H18">
        <f t="shared" si="2"/>
        <v>37.598091396722879</v>
      </c>
      <c r="I18">
        <f t="shared" si="0"/>
        <v>1174500000000000</v>
      </c>
      <c r="J18">
        <f t="shared" si="3"/>
        <v>4.4158958345451024E+16</v>
      </c>
    </row>
    <row r="19" spans="1:10" x14ac:dyDescent="0.25">
      <c r="A19" s="1" t="s">
        <v>41</v>
      </c>
      <c r="B19" t="s">
        <v>2</v>
      </c>
      <c r="C19" s="3" t="s">
        <v>44</v>
      </c>
      <c r="D19" s="3">
        <v>754</v>
      </c>
      <c r="E19">
        <f t="shared" si="1"/>
        <v>0.76186021870552922</v>
      </c>
      <c r="F19" s="3">
        <v>8.15</v>
      </c>
      <c r="G19">
        <v>6</v>
      </c>
      <c r="H19">
        <f>E19*F19*G19</f>
        <v>37.254964694700384</v>
      </c>
      <c r="I19">
        <f t="shared" si="0"/>
        <v>1174500000000000</v>
      </c>
      <c r="J19">
        <f t="shared" si="3"/>
        <v>4.37559560339256E+16</v>
      </c>
    </row>
    <row r="20" spans="1:10" x14ac:dyDescent="0.25">
      <c r="A20" s="1" t="s">
        <v>42</v>
      </c>
      <c r="B20" t="s">
        <v>2</v>
      </c>
      <c r="C20" s="3" t="s">
        <v>48</v>
      </c>
      <c r="D20" s="3">
        <v>39</v>
      </c>
      <c r="E20">
        <f t="shared" si="1"/>
        <v>0.98602993870548117</v>
      </c>
      <c r="F20" s="3">
        <v>6.68</v>
      </c>
      <c r="G20">
        <v>6</v>
      </c>
      <c r="H20">
        <f t="shared" si="2"/>
        <v>39.520079943315686</v>
      </c>
      <c r="I20">
        <f t="shared" si="0"/>
        <v>1174500000000000</v>
      </c>
      <c r="J20">
        <f>H20*I20</f>
        <v>4.6416333893424272E+16</v>
      </c>
    </row>
    <row r="21" spans="1:10" x14ac:dyDescent="0.25">
      <c r="A21" s="1" t="s">
        <v>43</v>
      </c>
      <c r="B21" t="s">
        <v>2</v>
      </c>
      <c r="C21" s="3" t="s">
        <v>45</v>
      </c>
      <c r="D21" s="3">
        <v>55</v>
      </c>
      <c r="E21">
        <f t="shared" si="1"/>
        <v>0.98035524471831104</v>
      </c>
      <c r="F21" s="3">
        <v>6.47</v>
      </c>
      <c r="G21">
        <v>6</v>
      </c>
      <c r="H21">
        <f t="shared" si="2"/>
        <v>38.057390599964833</v>
      </c>
      <c r="I21">
        <f t="shared" si="0"/>
        <v>1174500000000000</v>
      </c>
      <c r="J21">
        <f t="shared" si="3"/>
        <v>4.4698405259658696E+16</v>
      </c>
    </row>
    <row r="22" spans="1:10" x14ac:dyDescent="0.25">
      <c r="A22" t="s">
        <v>50</v>
      </c>
      <c r="B22" t="s">
        <v>2</v>
      </c>
      <c r="C22" s="3" t="s">
        <v>51</v>
      </c>
      <c r="D22" s="3">
        <v>760</v>
      </c>
      <c r="E22">
        <f t="shared" si="1"/>
        <v>0.76021303623339154</v>
      </c>
      <c r="F22" s="3">
        <v>8.1999999999999993</v>
      </c>
      <c r="G22">
        <v>6</v>
      </c>
      <c r="H22">
        <f t="shared" si="2"/>
        <v>37.402481382682858</v>
      </c>
      <c r="I22">
        <f t="shared" si="0"/>
        <v>1174500000000000</v>
      </c>
      <c r="J22">
        <f t="shared" si="3"/>
        <v>4.3929214383961016E+16</v>
      </c>
    </row>
    <row r="23" spans="1:10" x14ac:dyDescent="0.25">
      <c r="A23" t="s">
        <v>49</v>
      </c>
      <c r="B23" t="s">
        <v>2</v>
      </c>
      <c r="C23" s="3" t="s">
        <v>52</v>
      </c>
      <c r="D23" s="3">
        <v>824</v>
      </c>
      <c r="E23">
        <f t="shared" si="1"/>
        <v>0.74286314510611384</v>
      </c>
      <c r="F23" s="3">
        <v>7.6</v>
      </c>
      <c r="G23">
        <v>6</v>
      </c>
      <c r="H23">
        <f t="shared" si="2"/>
        <v>33.874559416838792</v>
      </c>
      <c r="I23">
        <f t="shared" si="0"/>
        <v>1174500000000000</v>
      </c>
      <c r="J23">
        <f t="shared" si="3"/>
        <v>3.978567003507716E+16</v>
      </c>
    </row>
    <row r="24" spans="1:10" x14ac:dyDescent="0.25">
      <c r="A24" t="s">
        <v>53</v>
      </c>
      <c r="B24" t="s">
        <v>2</v>
      </c>
      <c r="C24" s="3" t="s">
        <v>54</v>
      </c>
      <c r="D24" s="3">
        <v>897</v>
      </c>
      <c r="E24">
        <f t="shared" si="1"/>
        <v>0.72355631143588062</v>
      </c>
      <c r="F24" s="3">
        <v>9.1999999999999993</v>
      </c>
      <c r="G24">
        <v>1</v>
      </c>
      <c r="H24">
        <f t="shared" si="2"/>
        <v>6.656718065210101</v>
      </c>
      <c r="I24">
        <f>1.1745*10^15</f>
        <v>1174500000000000</v>
      </c>
      <c r="J24">
        <f t="shared" si="3"/>
        <v>7818315367589264</v>
      </c>
    </row>
    <row r="26" spans="1:10" x14ac:dyDescent="0.25">
      <c r="A26" s="1" t="s">
        <v>55</v>
      </c>
      <c r="B26" t="s">
        <v>2</v>
      </c>
      <c r="C26" s="3" t="s">
        <v>56</v>
      </c>
      <c r="D26" s="3">
        <v>1026</v>
      </c>
      <c r="E26">
        <f t="shared" ref="E26" si="4">EXP(-LN(2)*D26/1921.5)</f>
        <v>0.69065740431617695</v>
      </c>
      <c r="F26" s="3">
        <v>9.5399999999999991</v>
      </c>
      <c r="G26">
        <v>6</v>
      </c>
      <c r="H26">
        <f t="shared" ref="H26" si="5">E26*F26*G26</f>
        <v>39.533229823057965</v>
      </c>
      <c r="I26">
        <f t="shared" ref="I26:I27" si="6">1.1745*10^15</f>
        <v>1174500000000000</v>
      </c>
      <c r="J26">
        <f t="shared" ref="J26" si="7">H26*I26</f>
        <v>4.6431778427181584E+16</v>
      </c>
    </row>
    <row r="27" spans="1:10" x14ac:dyDescent="0.25">
      <c r="A27" s="1" t="s">
        <v>55</v>
      </c>
      <c r="B27" t="s">
        <v>2</v>
      </c>
      <c r="C27" s="3" t="s">
        <v>56</v>
      </c>
      <c r="D27" s="3">
        <v>1026</v>
      </c>
      <c r="E27">
        <f t="shared" ref="E27" si="8">EXP(-LN(2)*D27/1921.5)</f>
        <v>0.69065740431617695</v>
      </c>
      <c r="F27" s="3">
        <v>9.5399999999999991</v>
      </c>
      <c r="G27">
        <v>6</v>
      </c>
      <c r="H27">
        <f t="shared" ref="H27" si="9">E27*F27*G27</f>
        <v>39.533229823057965</v>
      </c>
      <c r="I27">
        <f t="shared" si="6"/>
        <v>1174500000000000</v>
      </c>
      <c r="J27">
        <f t="shared" ref="J27" si="10">H27*I27</f>
        <v>4.6431778427181584E+16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activeCell="K27" sqref="K27"/>
    </sheetView>
  </sheetViews>
  <sheetFormatPr defaultRowHeight="15" x14ac:dyDescent="0.25"/>
  <cols>
    <col min="1" max="1" width="11.5703125" customWidth="1"/>
    <col min="2" max="2" width="16.28515625" customWidth="1"/>
    <col min="3" max="3" width="13.5703125" customWidth="1"/>
    <col min="5" max="5" width="11" customWidth="1"/>
    <col min="9" max="9" width="16" customWidth="1"/>
    <col min="10" max="10" width="16.7109375" customWidth="1"/>
  </cols>
  <sheetData>
    <row r="1" spans="1:10" x14ac:dyDescent="0.25">
      <c r="B1" t="s">
        <v>1</v>
      </c>
      <c r="C1" t="s">
        <v>3</v>
      </c>
      <c r="D1" t="s">
        <v>4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s="1" t="s">
        <v>21</v>
      </c>
    </row>
    <row r="2" spans="1:10" x14ac:dyDescent="0.25">
      <c r="A2" t="s">
        <v>0</v>
      </c>
      <c r="B2" t="s">
        <v>2</v>
      </c>
      <c r="C2" t="s">
        <v>23</v>
      </c>
      <c r="D2">
        <v>165</v>
      </c>
      <c r="E2">
        <f>EXP(-LN(2)*D2/1921.5)</f>
        <v>0.94221590215173023</v>
      </c>
      <c r="F2">
        <v>6.88</v>
      </c>
      <c r="G2">
        <v>6</v>
      </c>
      <c r="H2">
        <f>E2*F2*G2</f>
        <v>38.89467244082342</v>
      </c>
      <c r="I2">
        <f>1.2095*10^15</f>
        <v>1209500000000000</v>
      </c>
      <c r="J2">
        <f>H2*I2</f>
        <v>4.7043106317175928E+16</v>
      </c>
    </row>
    <row r="3" spans="1:10" x14ac:dyDescent="0.25">
      <c r="A3" t="s">
        <v>5</v>
      </c>
      <c r="B3" t="s">
        <v>2</v>
      </c>
      <c r="C3" t="s">
        <v>24</v>
      </c>
      <c r="D3">
        <v>390</v>
      </c>
      <c r="E3">
        <f t="shared" ref="E3:E24" si="0">EXP(-LN(2)*D3/1921.5)</f>
        <v>0.86876239861484883</v>
      </c>
      <c r="F3">
        <v>6.33</v>
      </c>
      <c r="G3">
        <v>6</v>
      </c>
      <c r="H3">
        <f t="shared" ref="H3:H13" si="1">E3*F3*G3</f>
        <v>32.995595899391958</v>
      </c>
      <c r="I3">
        <f t="shared" ref="I3:I23" si="2">1.2095*10^15</f>
        <v>1209500000000000</v>
      </c>
      <c r="J3">
        <f t="shared" ref="J3:J24" si="3">H3*I3</f>
        <v>3.9908173240314576E+16</v>
      </c>
    </row>
    <row r="4" spans="1:10" x14ac:dyDescent="0.25">
      <c r="A4" t="s">
        <v>6</v>
      </c>
      <c r="B4" t="s">
        <v>2</v>
      </c>
      <c r="C4" t="s">
        <v>25</v>
      </c>
      <c r="D4">
        <v>410</v>
      </c>
      <c r="E4">
        <f t="shared" si="0"/>
        <v>0.86251714060729956</v>
      </c>
      <c r="F4">
        <v>7.13</v>
      </c>
      <c r="G4">
        <v>6</v>
      </c>
      <c r="H4">
        <f t="shared" si="1"/>
        <v>36.898483275180276</v>
      </c>
      <c r="I4">
        <f t="shared" si="2"/>
        <v>1209500000000000</v>
      </c>
      <c r="J4">
        <f t="shared" si="3"/>
        <v>4.4628715521330544E+16</v>
      </c>
    </row>
    <row r="5" spans="1:10" x14ac:dyDescent="0.25">
      <c r="A5" t="s">
        <v>7</v>
      </c>
      <c r="B5" t="s">
        <v>2</v>
      </c>
      <c r="C5" s="2" t="s">
        <v>47</v>
      </c>
      <c r="D5">
        <v>698</v>
      </c>
      <c r="E5">
        <f t="shared" si="0"/>
        <v>0.77740706749140209</v>
      </c>
      <c r="F5">
        <v>7.3</v>
      </c>
      <c r="G5">
        <v>6</v>
      </c>
      <c r="H5">
        <f t="shared" si="1"/>
        <v>34.050429556123412</v>
      </c>
      <c r="I5">
        <f t="shared" si="2"/>
        <v>1209500000000000</v>
      </c>
      <c r="J5">
        <f t="shared" si="3"/>
        <v>4.1183994548131264E+16</v>
      </c>
    </row>
    <row r="6" spans="1:10" x14ac:dyDescent="0.25">
      <c r="A6" t="s">
        <v>8</v>
      </c>
      <c r="B6" t="s">
        <v>2</v>
      </c>
      <c r="C6" t="s">
        <v>22</v>
      </c>
      <c r="D6">
        <v>375</v>
      </c>
      <c r="E6">
        <f t="shared" si="0"/>
        <v>0.87347600004895964</v>
      </c>
      <c r="F6">
        <v>7.51</v>
      </c>
      <c r="G6">
        <v>6</v>
      </c>
      <c r="H6">
        <f t="shared" si="1"/>
        <v>39.358828562206121</v>
      </c>
      <c r="I6">
        <f t="shared" si="2"/>
        <v>1209500000000000</v>
      </c>
      <c r="J6">
        <f t="shared" si="3"/>
        <v>4.7604503145988304E+16</v>
      </c>
    </row>
    <row r="7" spans="1:10" x14ac:dyDescent="0.25">
      <c r="A7" t="s">
        <v>9</v>
      </c>
      <c r="B7" t="s">
        <v>2</v>
      </c>
      <c r="C7" t="s">
        <v>26</v>
      </c>
      <c r="D7">
        <v>565</v>
      </c>
      <c r="E7">
        <f t="shared" si="0"/>
        <v>0.81561424975166441</v>
      </c>
      <c r="F7">
        <v>6.86</v>
      </c>
      <c r="G7">
        <v>6</v>
      </c>
      <c r="H7">
        <f t="shared" si="1"/>
        <v>33.570682519778508</v>
      </c>
      <c r="I7">
        <f t="shared" si="2"/>
        <v>1209500000000000</v>
      </c>
      <c r="J7">
        <f t="shared" si="3"/>
        <v>4.0603740507672104E+16</v>
      </c>
    </row>
    <row r="8" spans="1:10" x14ac:dyDescent="0.25">
      <c r="A8" t="s">
        <v>10</v>
      </c>
      <c r="B8" t="s">
        <v>2</v>
      </c>
      <c r="C8" t="s">
        <v>27</v>
      </c>
      <c r="D8">
        <v>355</v>
      </c>
      <c r="E8">
        <f t="shared" si="0"/>
        <v>0.87980060825311313</v>
      </c>
      <c r="F8">
        <v>7.35</v>
      </c>
      <c r="G8">
        <v>6</v>
      </c>
      <c r="H8">
        <f t="shared" si="1"/>
        <v>38.799206823962287</v>
      </c>
      <c r="I8">
        <f t="shared" si="2"/>
        <v>1209500000000000</v>
      </c>
      <c r="J8">
        <f t="shared" si="3"/>
        <v>4.6927640653582384E+16</v>
      </c>
    </row>
    <row r="9" spans="1:10" x14ac:dyDescent="0.25">
      <c r="A9" t="s">
        <v>11</v>
      </c>
      <c r="B9" t="s">
        <v>2</v>
      </c>
      <c r="C9" t="s">
        <v>46</v>
      </c>
      <c r="D9">
        <v>292</v>
      </c>
      <c r="E9">
        <f t="shared" si="0"/>
        <v>0.9000240069304879</v>
      </c>
      <c r="F9">
        <v>7.12</v>
      </c>
      <c r="G9">
        <v>6</v>
      </c>
      <c r="H9">
        <f t="shared" si="1"/>
        <v>38.44902557607044</v>
      </c>
      <c r="I9">
        <f t="shared" si="2"/>
        <v>1209500000000000</v>
      </c>
      <c r="J9">
        <f t="shared" si="3"/>
        <v>4.65040964342572E+16</v>
      </c>
    </row>
    <row r="10" spans="1:10" x14ac:dyDescent="0.25">
      <c r="A10" t="s">
        <v>12</v>
      </c>
      <c r="B10" t="s">
        <v>2</v>
      </c>
      <c r="C10" t="s">
        <v>24</v>
      </c>
      <c r="D10">
        <v>390</v>
      </c>
      <c r="E10">
        <f t="shared" si="0"/>
        <v>0.86876239861484883</v>
      </c>
      <c r="F10">
        <v>6.41</v>
      </c>
      <c r="G10">
        <v>6</v>
      </c>
      <c r="H10">
        <f t="shared" si="1"/>
        <v>33.412601850727086</v>
      </c>
      <c r="I10">
        <f t="shared" si="2"/>
        <v>1209500000000000</v>
      </c>
      <c r="J10">
        <f t="shared" si="3"/>
        <v>4.0412541938454408E+16</v>
      </c>
    </row>
    <row r="11" spans="1:10" x14ac:dyDescent="0.25">
      <c r="A11" t="s">
        <v>13</v>
      </c>
      <c r="B11" t="s">
        <v>2</v>
      </c>
      <c r="C11" t="s">
        <v>28</v>
      </c>
      <c r="D11">
        <v>200</v>
      </c>
      <c r="E11">
        <f t="shared" si="0"/>
        <v>0.93039461383379241</v>
      </c>
      <c r="F11">
        <v>6.16</v>
      </c>
      <c r="G11">
        <v>6</v>
      </c>
      <c r="H11">
        <f t="shared" si="1"/>
        <v>34.387384927296971</v>
      </c>
      <c r="I11">
        <f t="shared" si="2"/>
        <v>1209500000000000</v>
      </c>
      <c r="J11">
        <f t="shared" si="3"/>
        <v>4.1591542069565688E+16</v>
      </c>
    </row>
    <row r="12" spans="1:10" x14ac:dyDescent="0.25">
      <c r="A12" t="s">
        <v>14</v>
      </c>
      <c r="B12" t="s">
        <v>2</v>
      </c>
      <c r="C12" t="s">
        <v>29</v>
      </c>
      <c r="D12">
        <v>292</v>
      </c>
      <c r="E12">
        <f t="shared" si="0"/>
        <v>0.9000240069304879</v>
      </c>
      <c r="F12">
        <v>7.18</v>
      </c>
      <c r="G12">
        <v>6</v>
      </c>
      <c r="H12">
        <f t="shared" si="1"/>
        <v>38.773034218565414</v>
      </c>
      <c r="I12">
        <f t="shared" si="2"/>
        <v>1209500000000000</v>
      </c>
      <c r="J12">
        <f t="shared" si="3"/>
        <v>4.6895984887354864E+16</v>
      </c>
    </row>
    <row r="13" spans="1:10" x14ac:dyDescent="0.25">
      <c r="A13" t="s">
        <v>15</v>
      </c>
      <c r="B13" t="s">
        <v>2</v>
      </c>
      <c r="C13" t="s">
        <v>30</v>
      </c>
      <c r="D13">
        <v>194</v>
      </c>
      <c r="E13">
        <f t="shared" si="0"/>
        <v>0.9324105351966665</v>
      </c>
      <c r="F13">
        <v>6.97</v>
      </c>
      <c r="G13">
        <v>6</v>
      </c>
      <c r="H13">
        <f t="shared" si="1"/>
        <v>38.993408581924591</v>
      </c>
      <c r="I13">
        <f t="shared" si="2"/>
        <v>1209500000000000</v>
      </c>
      <c r="J13">
        <f t="shared" si="3"/>
        <v>4.7162527679837792E+16</v>
      </c>
    </row>
    <row r="14" spans="1:10" x14ac:dyDescent="0.25">
      <c r="A14" t="s">
        <v>31</v>
      </c>
      <c r="B14" t="s">
        <v>2</v>
      </c>
      <c r="C14" t="s">
        <v>33</v>
      </c>
      <c r="D14">
        <v>655</v>
      </c>
      <c r="E14">
        <f t="shared" si="0"/>
        <v>0.7895598197212258</v>
      </c>
      <c r="F14">
        <v>7.75</v>
      </c>
      <c r="G14">
        <v>6</v>
      </c>
      <c r="H14">
        <f t="shared" ref="H14:H24" si="4">E14*F14*G14</f>
        <v>36.714531617036997</v>
      </c>
      <c r="I14">
        <f t="shared" si="2"/>
        <v>1209500000000000</v>
      </c>
      <c r="J14">
        <f t="shared" si="3"/>
        <v>4.4406225990806248E+16</v>
      </c>
    </row>
    <row r="15" spans="1:10" x14ac:dyDescent="0.25">
      <c r="A15" t="s">
        <v>32</v>
      </c>
      <c r="B15" t="s">
        <v>2</v>
      </c>
      <c r="C15" t="s">
        <v>34</v>
      </c>
      <c r="D15">
        <v>669</v>
      </c>
      <c r="E15">
        <f t="shared" si="0"/>
        <v>0.78558239507776972</v>
      </c>
      <c r="F15">
        <v>7.52</v>
      </c>
      <c r="G15">
        <v>6</v>
      </c>
      <c r="H15">
        <f t="shared" si="4"/>
        <v>35.445477665908967</v>
      </c>
      <c r="I15">
        <f t="shared" si="2"/>
        <v>1209500000000000</v>
      </c>
      <c r="J15">
        <f t="shared" si="3"/>
        <v>4.2871305236916896E+16</v>
      </c>
    </row>
    <row r="16" spans="1:10" x14ac:dyDescent="0.25">
      <c r="A16" t="s">
        <v>35</v>
      </c>
      <c r="B16" t="s">
        <v>2</v>
      </c>
      <c r="C16" t="s">
        <v>38</v>
      </c>
      <c r="D16">
        <v>27</v>
      </c>
      <c r="E16">
        <f t="shared" si="0"/>
        <v>0.99030750494364084</v>
      </c>
      <c r="F16">
        <v>5.67</v>
      </c>
      <c r="G16">
        <v>6</v>
      </c>
      <c r="H16">
        <f t="shared" si="4"/>
        <v>33.690261318182664</v>
      </c>
      <c r="I16">
        <f t="shared" si="2"/>
        <v>1209500000000000</v>
      </c>
      <c r="J16">
        <f t="shared" si="3"/>
        <v>4.0748371064341928E+16</v>
      </c>
    </row>
    <row r="17" spans="1:10" x14ac:dyDescent="0.25">
      <c r="A17" t="s">
        <v>36</v>
      </c>
      <c r="B17" t="s">
        <v>2</v>
      </c>
      <c r="C17" t="s">
        <v>39</v>
      </c>
      <c r="D17">
        <v>32</v>
      </c>
      <c r="E17">
        <f t="shared" si="0"/>
        <v>0.98852293511734801</v>
      </c>
      <c r="F17">
        <v>5.42</v>
      </c>
      <c r="G17">
        <v>6</v>
      </c>
      <c r="H17">
        <f t="shared" si="4"/>
        <v>32.146765850016159</v>
      </c>
      <c r="I17">
        <f t="shared" si="2"/>
        <v>1209500000000000</v>
      </c>
      <c r="J17">
        <f t="shared" si="3"/>
        <v>3.8881513295594544E+16</v>
      </c>
    </row>
    <row r="18" spans="1:10" x14ac:dyDescent="0.25">
      <c r="A18" t="s">
        <v>37</v>
      </c>
      <c r="B18" t="s">
        <v>2</v>
      </c>
      <c r="C18" t="s">
        <v>40</v>
      </c>
      <c r="D18">
        <v>110</v>
      </c>
      <c r="E18">
        <f t="shared" si="0"/>
        <v>0.96109640584669942</v>
      </c>
      <c r="F18">
        <v>6.52</v>
      </c>
      <c r="G18">
        <v>6</v>
      </c>
      <c r="H18">
        <f t="shared" si="4"/>
        <v>37.598091396722879</v>
      </c>
      <c r="I18">
        <f t="shared" si="2"/>
        <v>1209500000000000</v>
      </c>
      <c r="J18">
        <f t="shared" si="3"/>
        <v>4.547489154433632E+16</v>
      </c>
    </row>
    <row r="19" spans="1:10" x14ac:dyDescent="0.25">
      <c r="A19" t="s">
        <v>41</v>
      </c>
      <c r="B19" t="s">
        <v>2</v>
      </c>
      <c r="C19" t="s">
        <v>44</v>
      </c>
      <c r="D19">
        <v>754</v>
      </c>
      <c r="E19">
        <f t="shared" si="0"/>
        <v>0.76186021870552922</v>
      </c>
      <c r="F19">
        <v>8.15</v>
      </c>
      <c r="G19">
        <v>6</v>
      </c>
      <c r="H19">
        <f t="shared" si="4"/>
        <v>37.254964694700384</v>
      </c>
      <c r="I19">
        <f t="shared" si="2"/>
        <v>1209500000000000</v>
      </c>
      <c r="J19">
        <f t="shared" si="3"/>
        <v>4.5059879798240112E+16</v>
      </c>
    </row>
    <row r="20" spans="1:10" x14ac:dyDescent="0.25">
      <c r="A20" t="s">
        <v>42</v>
      </c>
      <c r="B20" t="s">
        <v>2</v>
      </c>
      <c r="C20" t="s">
        <v>48</v>
      </c>
      <c r="D20">
        <v>39</v>
      </c>
      <c r="E20">
        <f t="shared" si="0"/>
        <v>0.98602993870548117</v>
      </c>
      <c r="F20">
        <v>6.68</v>
      </c>
      <c r="G20">
        <v>6</v>
      </c>
      <c r="H20">
        <f t="shared" si="4"/>
        <v>39.520079943315686</v>
      </c>
      <c r="I20">
        <f t="shared" si="2"/>
        <v>1209500000000000</v>
      </c>
      <c r="J20">
        <f t="shared" si="3"/>
        <v>4.779953669144032E+16</v>
      </c>
    </row>
    <row r="21" spans="1:10" x14ac:dyDescent="0.25">
      <c r="A21" t="s">
        <v>43</v>
      </c>
      <c r="B21" t="s">
        <v>2</v>
      </c>
      <c r="C21" t="s">
        <v>45</v>
      </c>
      <c r="D21">
        <v>55</v>
      </c>
      <c r="E21">
        <f t="shared" si="0"/>
        <v>0.98035524471831104</v>
      </c>
      <c r="F21">
        <v>6.47</v>
      </c>
      <c r="G21">
        <v>6</v>
      </c>
      <c r="H21">
        <f t="shared" si="4"/>
        <v>38.057390599964833</v>
      </c>
      <c r="I21">
        <f t="shared" si="2"/>
        <v>1209500000000000</v>
      </c>
      <c r="J21">
        <f t="shared" si="3"/>
        <v>4.6030413930657464E+16</v>
      </c>
    </row>
    <row r="22" spans="1:10" x14ac:dyDescent="0.25">
      <c r="A22" t="s">
        <v>50</v>
      </c>
      <c r="B22" t="s">
        <v>2</v>
      </c>
      <c r="C22" t="s">
        <v>51</v>
      </c>
      <c r="D22">
        <v>760</v>
      </c>
      <c r="E22">
        <f t="shared" si="0"/>
        <v>0.76021303623339154</v>
      </c>
      <c r="F22">
        <v>8.1999999999999993</v>
      </c>
      <c r="G22">
        <v>6</v>
      </c>
      <c r="H22">
        <f t="shared" si="4"/>
        <v>37.402481382682858</v>
      </c>
      <c r="I22">
        <f t="shared" si="2"/>
        <v>1209500000000000</v>
      </c>
      <c r="J22">
        <f t="shared" si="3"/>
        <v>4.523830123235492E+16</v>
      </c>
    </row>
    <row r="23" spans="1:10" x14ac:dyDescent="0.25">
      <c r="A23" t="s">
        <v>49</v>
      </c>
      <c r="B23" t="s">
        <v>2</v>
      </c>
      <c r="C23" t="s">
        <v>52</v>
      </c>
      <c r="D23">
        <v>824</v>
      </c>
      <c r="E23">
        <f t="shared" si="0"/>
        <v>0.74286314510611384</v>
      </c>
      <c r="F23">
        <v>7.6</v>
      </c>
      <c r="G23">
        <v>6</v>
      </c>
      <c r="H23">
        <f t="shared" si="4"/>
        <v>33.874559416838792</v>
      </c>
      <c r="I23">
        <f t="shared" si="2"/>
        <v>1209500000000000</v>
      </c>
      <c r="J23">
        <f t="shared" si="3"/>
        <v>4.097127961466652E+16</v>
      </c>
    </row>
    <row r="24" spans="1:10" x14ac:dyDescent="0.25">
      <c r="A24" t="s">
        <v>53</v>
      </c>
      <c r="B24" t="s">
        <v>2</v>
      </c>
      <c r="C24" t="s">
        <v>54</v>
      </c>
      <c r="D24">
        <v>897</v>
      </c>
      <c r="E24">
        <f t="shared" si="0"/>
        <v>0.72355631143588062</v>
      </c>
      <c r="F24">
        <v>9.1999999999999993</v>
      </c>
      <c r="G24">
        <v>1</v>
      </c>
      <c r="H24">
        <f t="shared" si="4"/>
        <v>6.656718065210101</v>
      </c>
      <c r="I24">
        <f>1.1745*10^15</f>
        <v>1174500000000000</v>
      </c>
      <c r="J24">
        <f t="shared" si="3"/>
        <v>7818315367589264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</vt:lpstr>
      <vt:lpstr>OLD</vt:lpstr>
      <vt:lpstr>Sheet2</vt:lpstr>
      <vt:lpstr>Sheet3</vt:lpstr>
    </vt:vector>
  </TitlesOfParts>
  <Company>Health Shared Services 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Burns, Levi</dc:creator>
  <cp:lastModifiedBy>cbn@student.ubc.ca</cp:lastModifiedBy>
  <dcterms:created xsi:type="dcterms:W3CDTF">2017-10-31T23:15:19Z</dcterms:created>
  <dcterms:modified xsi:type="dcterms:W3CDTF">2025-09-01T20:39:46Z</dcterms:modified>
</cp:coreProperties>
</file>